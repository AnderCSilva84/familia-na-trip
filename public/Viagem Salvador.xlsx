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ed834f43b4228bb/Área de Trabalho/"/>
    </mc:Choice>
  </mc:AlternateContent>
  <xr:revisionPtr revIDLastSave="843" documentId="13_ncr:1_{3560A903-316A-418E-B086-8C9CF4DA1B6B}" xr6:coauthVersionLast="47" xr6:coauthVersionMax="47" xr10:uidLastSave="{1F03AF08-7669-46B2-9CA4-A975AEC57A99}"/>
  <bookViews>
    <workbookView xWindow="-108" yWindow="-108" windowWidth="23256" windowHeight="12456" xr2:uid="{00000000-000D-0000-FFFF-FFFF00000000}"/>
  </bookViews>
  <sheets>
    <sheet name="Praia do Forte" sheetId="20" r:id="rId1"/>
    <sheet name="Ouro Preto e BH (2)" sheetId="16" r:id="rId2"/>
    <sheet name="Dicas salvador" sheetId="17" r:id="rId3"/>
    <sheet name="Dicas Aracajú" sheetId="19" r:id="rId4"/>
    <sheet name="Planilha1" sheetId="1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20" l="1"/>
  <c r="G112" i="20"/>
  <c r="H2" i="20" s="1"/>
  <c r="H5" i="20" s="1"/>
  <c r="H8" i="20" s="1"/>
  <c r="H9" i="20" s="1"/>
  <c r="H10" i="20" s="1"/>
  <c r="H12" i="20" s="1"/>
  <c r="H13" i="20" s="1"/>
  <c r="H19" i="20" s="1"/>
  <c r="H20" i="20" s="1"/>
  <c r="H23" i="20" s="1"/>
  <c r="H24" i="20" s="1"/>
  <c r="H25" i="20" s="1"/>
  <c r="H27" i="20" s="1"/>
  <c r="K48" i="16"/>
  <c r="K49" i="16"/>
  <c r="K46" i="16"/>
  <c r="K45" i="16"/>
  <c r="K44" i="16"/>
  <c r="G109" i="16"/>
  <c r="H2" i="16"/>
  <c r="H5" i="16" s="1"/>
  <c r="H8" i="16" s="1"/>
  <c r="H9" i="16" s="1"/>
  <c r="H10" i="16" s="1"/>
  <c r="H12" i="16" s="1"/>
  <c r="H30" i="20" l="1"/>
  <c r="H31" i="20" s="1"/>
  <c r="H34" i="20" s="1"/>
  <c r="H37" i="20" s="1"/>
  <c r="H38" i="20" s="1"/>
  <c r="H41" i="20" s="1"/>
  <c r="H45" i="20" s="1"/>
  <c r="H47" i="20" s="1"/>
  <c r="H48" i="20" s="1"/>
  <c r="H28" i="20"/>
  <c r="H13" i="16"/>
  <c r="H18" i="16" s="1"/>
  <c r="H19" i="16" s="1"/>
  <c r="H51" i="20" l="1"/>
  <c r="H52" i="20" s="1"/>
  <c r="H54" i="20" s="1"/>
  <c r="H57" i="20" s="1"/>
  <c r="H58" i="20" s="1"/>
  <c r="H22" i="16"/>
  <c r="H61" i="20" l="1"/>
  <c r="H62" i="20" s="1"/>
  <c r="H63" i="20" s="1"/>
  <c r="H65" i="20" s="1"/>
  <c r="H23" i="16"/>
  <c r="H24" i="16" s="1"/>
  <c r="H26" i="16" s="1"/>
  <c r="H64" i="20" l="1"/>
  <c r="H68" i="20"/>
  <c r="H69" i="20" s="1"/>
  <c r="H70" i="20" s="1"/>
  <c r="H73" i="20" s="1"/>
  <c r="H75" i="20" s="1"/>
  <c r="H76" i="20" s="1"/>
  <c r="H29" i="16"/>
  <c r="H30" i="16" s="1"/>
  <c r="H33" i="16" s="1"/>
  <c r="H36" i="16" s="1"/>
  <c r="H27" i="16"/>
  <c r="I109" i="16"/>
  <c r="H37" i="16" l="1"/>
  <c r="H40" i="16" s="1"/>
  <c r="H44" i="16" s="1"/>
  <c r="H45" i="16" s="1"/>
  <c r="H46" i="16" s="1"/>
  <c r="H47" i="16" l="1"/>
  <c r="H50" i="16" s="1"/>
  <c r="H51" i="16" s="1"/>
  <c r="H52" i="16" s="1"/>
  <c r="H55" i="16" s="1"/>
  <c r="H58" i="16" s="1"/>
  <c r="H61" i="16"/>
  <c r="H62" i="16" s="1"/>
  <c r="H59" i="16"/>
  <c r="H64" i="16" l="1"/>
  <c r="H68" i="16" s="1"/>
  <c r="H71" i="16" s="1"/>
  <c r="H73" i="16" s="1"/>
  <c r="H74" i="16" s="1"/>
  <c r="H63" i="16"/>
</calcChain>
</file>

<file path=xl/sharedStrings.xml><?xml version="1.0" encoding="utf-8"?>
<sst xmlns="http://schemas.openxmlformats.org/spreadsheetml/2006/main" count="846" uniqueCount="195">
  <si>
    <t>DATA</t>
  </si>
  <si>
    <t>DIA DA SEMANA</t>
  </si>
  <si>
    <t>CIDADE</t>
  </si>
  <si>
    <t>LOCAL</t>
  </si>
  <si>
    <t>HORA</t>
  </si>
  <si>
    <t>DESCRIÇÃO</t>
  </si>
  <si>
    <t>CUSTO</t>
  </si>
  <si>
    <t>PAGO</t>
  </si>
  <si>
    <t>Pago</t>
  </si>
  <si>
    <t>Sábado</t>
  </si>
  <si>
    <t>Belém</t>
  </si>
  <si>
    <t>saída de casa</t>
  </si>
  <si>
    <t>Carona</t>
  </si>
  <si>
    <t>Aeroporto</t>
  </si>
  <si>
    <t>saída</t>
  </si>
  <si>
    <t>Brasilia</t>
  </si>
  <si>
    <t>chegada</t>
  </si>
  <si>
    <t>Comprar lanche</t>
  </si>
  <si>
    <t>Salvador</t>
  </si>
  <si>
    <t>aluguel carro</t>
  </si>
  <si>
    <t>Almoço</t>
  </si>
  <si>
    <t>Hotel</t>
  </si>
  <si>
    <t>Endereço
rua das patativas 725, Salvador, CEP 41720-390, Brasil</t>
  </si>
  <si>
    <t>Largo de Santana</t>
  </si>
  <si>
    <t>jantar</t>
  </si>
  <si>
    <t>Supermercado</t>
  </si>
  <si>
    <t>Domingo</t>
  </si>
  <si>
    <t>café da manhã</t>
  </si>
  <si>
    <t>Praia de Itapuã</t>
  </si>
  <si>
    <t>Ribeira</t>
  </si>
  <si>
    <t>Jantar</t>
  </si>
  <si>
    <t>Segunda-feira</t>
  </si>
  <si>
    <t>saída para Aracajú</t>
  </si>
  <si>
    <t>almoço</t>
  </si>
  <si>
    <t>Aracajú</t>
  </si>
  <si>
    <t>Hospedagem</t>
  </si>
  <si>
    <t>Residencial jardim Aruana</t>
  </si>
  <si>
    <t>Passeio orla</t>
  </si>
  <si>
    <t>Terça</t>
  </si>
  <si>
    <t>Café da manhã</t>
  </si>
  <si>
    <t>Mercado Central</t>
  </si>
  <si>
    <t xml:space="preserve">almoço </t>
  </si>
  <si>
    <t>Largo da gente sergipana</t>
  </si>
  <si>
    <t>hotel</t>
  </si>
  <si>
    <t>Quarta</t>
  </si>
  <si>
    <t>São Cristovão</t>
  </si>
  <si>
    <t>combustível</t>
  </si>
  <si>
    <t>Parque da sementeira</t>
  </si>
  <si>
    <t>Quinta</t>
  </si>
  <si>
    <t>Saída</t>
  </si>
  <si>
    <t>almoço no caminho</t>
  </si>
  <si>
    <t>ALIMENTAÇÃO</t>
  </si>
  <si>
    <t>Itacimirim</t>
  </si>
  <si>
    <t>chegada Praia do forte</t>
  </si>
  <si>
    <t>TRANSPORTE</t>
  </si>
  <si>
    <t>chegada pousada</t>
  </si>
  <si>
    <t>HOSPEDAGEM</t>
  </si>
  <si>
    <t>LAZER</t>
  </si>
  <si>
    <t>Sexta</t>
  </si>
  <si>
    <t>COMPRAS</t>
  </si>
  <si>
    <t>Praia de Itacimirim</t>
  </si>
  <si>
    <t>Pousada</t>
  </si>
  <si>
    <t>Saída para Salvador</t>
  </si>
  <si>
    <t>Chegada Salvador</t>
  </si>
  <si>
    <t>Centro histórico</t>
  </si>
  <si>
    <t>Rua Chile</t>
  </si>
  <si>
    <t>Elevador Lacerda</t>
  </si>
  <si>
    <t>Sorveteria Cubana</t>
  </si>
  <si>
    <t>museu da musica da bahia</t>
  </si>
  <si>
    <t>Mercado Modelo</t>
  </si>
  <si>
    <t>Museu de arte moderna</t>
  </si>
  <si>
    <t>Capela Nossa Asenhora da Coceição</t>
  </si>
  <si>
    <t>Mercado</t>
  </si>
  <si>
    <t xml:space="preserve">parque zoobotânico </t>
  </si>
  <si>
    <t>Jogo</t>
  </si>
  <si>
    <t>passeio aline milena e gui</t>
  </si>
  <si>
    <t>Igreja convento São francisco</t>
  </si>
  <si>
    <t>Pelourinho</t>
  </si>
  <si>
    <t>Catedral</t>
  </si>
  <si>
    <t>o cravinho</t>
  </si>
  <si>
    <t>Museu da misericórdia</t>
  </si>
  <si>
    <t>Igreja Nosso Senhor do Bonfim</t>
  </si>
  <si>
    <t>museu do sovete</t>
  </si>
  <si>
    <t>ponta do humaitá</t>
  </si>
  <si>
    <t>ladeira do carmo</t>
  </si>
  <si>
    <t>Santo Antêonio Além Carmo</t>
  </si>
  <si>
    <t>Igreja da ordem terceira</t>
  </si>
  <si>
    <t>casa do rio vermelho</t>
  </si>
  <si>
    <t>feira de são joaquim</t>
  </si>
  <si>
    <t>saída Hotel</t>
  </si>
  <si>
    <t>abastecer carro</t>
  </si>
  <si>
    <t>entrega carro</t>
  </si>
  <si>
    <t>checkin</t>
  </si>
  <si>
    <t>voo</t>
  </si>
  <si>
    <t>escala Brasilia</t>
  </si>
  <si>
    <t>lanche</t>
  </si>
  <si>
    <t>saída Brasilia</t>
  </si>
  <si>
    <t>uber</t>
  </si>
  <si>
    <t>raia</t>
  </si>
  <si>
    <t>compras</t>
  </si>
  <si>
    <t>transportes</t>
  </si>
  <si>
    <t>chegada em salvador</t>
  </si>
  <si>
    <t>Farol da barra</t>
  </si>
  <si>
    <t>Porto da barra</t>
  </si>
  <si>
    <t>Orla Ondina</t>
  </si>
  <si>
    <t>centro historico</t>
  </si>
  <si>
    <t>estacioanamento</t>
  </si>
  <si>
    <t>sorveteria cubana</t>
  </si>
  <si>
    <t>feira de são joaqui</t>
  </si>
  <si>
    <t>TIPO</t>
  </si>
  <si>
    <t>MELHOR DIA</t>
  </si>
  <si>
    <t>vale a pena</t>
  </si>
  <si>
    <t xml:space="preserve">Rua Chile </t>
  </si>
  <si>
    <t>PASSEIOS</t>
  </si>
  <si>
    <t>Casa da música</t>
  </si>
  <si>
    <t>casa das histórias de salvador</t>
  </si>
  <si>
    <t>não muito</t>
  </si>
  <si>
    <t>sim</t>
  </si>
  <si>
    <t>Segundas, Domingos e Feriados: fechado</t>
  </si>
  <si>
    <t>Igreja convento de São Francisco</t>
  </si>
  <si>
    <t>Não ir de havaiana</t>
  </si>
  <si>
    <t>Fundação jorge amado</t>
  </si>
  <si>
    <t>Restaurante escola SENAC</t>
  </si>
  <si>
    <t>comida</t>
  </si>
  <si>
    <t>Sto Antônio Além do Carmo</t>
  </si>
  <si>
    <t>Cafelier</t>
  </si>
  <si>
    <t>um pouco caro</t>
  </si>
  <si>
    <t>Igreja Ordem terceira do Carmo</t>
  </si>
  <si>
    <t>Sorveteria cubana</t>
  </si>
  <si>
    <t>Museu de arte moderna da bahia</t>
  </si>
  <si>
    <t>Praia Stella mares</t>
  </si>
  <si>
    <t>praia de itapuã</t>
  </si>
  <si>
    <t>praia do flamengo</t>
  </si>
  <si>
    <t>praia pedro do sal</t>
  </si>
  <si>
    <t>praia ipitanga</t>
  </si>
  <si>
    <t>praia d ebusca vida</t>
  </si>
  <si>
    <t>praia de vilas do atlantico</t>
  </si>
  <si>
    <t>Porto da Barra</t>
  </si>
  <si>
    <t>casa da tereza</t>
  </si>
  <si>
    <t>ki mukeca</t>
  </si>
  <si>
    <t>dona mariquita</t>
  </si>
  <si>
    <t>ori</t>
  </si>
  <si>
    <t>amado</t>
  </si>
  <si>
    <t>sorveteria da ribeira</t>
  </si>
  <si>
    <t>Igreja do Bonfim</t>
  </si>
  <si>
    <t>Ponta de humaitá</t>
  </si>
  <si>
    <t>Pasta em casa</t>
  </si>
  <si>
    <t xml:space="preserve">Jeane gacia confeitaria </t>
  </si>
  <si>
    <t>só aos fds</t>
  </si>
  <si>
    <t>a casa do rio vermelho</t>
  </si>
  <si>
    <t>acarajé da Cira</t>
  </si>
  <si>
    <t>Rio vermelho</t>
  </si>
  <si>
    <t>O cravinho bar</t>
  </si>
  <si>
    <t>cachaçaria</t>
  </si>
  <si>
    <t>Restaurante tropicalia (pelourinho)</t>
  </si>
  <si>
    <t>Ladeira do carmo</t>
  </si>
  <si>
    <t>cidade da musica da bahia</t>
  </si>
  <si>
    <t>Vila caramuru (mercado do peixe)</t>
  </si>
  <si>
    <t>Largo de santana</t>
  </si>
  <si>
    <t>Forte de santa maria</t>
  </si>
  <si>
    <t>Sol brilhante</t>
  </si>
  <si>
    <t>Prainha do farol da barra</t>
  </si>
  <si>
    <t>morro do cristo</t>
  </si>
  <si>
    <t>sorveteria real</t>
  </si>
  <si>
    <t>Praia da gamboa</t>
  </si>
  <si>
    <t>fonte nova</t>
  </si>
  <si>
    <t>Itapuã</t>
  </si>
  <si>
    <t>Dona suzana rio vermelho</t>
  </si>
  <si>
    <t>Cantinho ds Jo - bairro da Graça</t>
  </si>
  <si>
    <t>catedral</t>
  </si>
  <si>
    <t>ponta do humaita</t>
  </si>
  <si>
    <t>museu do carnaval</t>
  </si>
  <si>
    <t>Museu Náutico da Bahia</t>
  </si>
  <si>
    <t>SORVETERIA DA RIBEIRA</t>
  </si>
  <si>
    <t>RESTAURANTE TOPIKALIA</t>
  </si>
  <si>
    <t>ABARÁ DA VOVÓ</t>
  </si>
  <si>
    <t>FEIRA DE SÃO JOAQUIM</t>
  </si>
  <si>
    <t>mercado de peixe</t>
  </si>
  <si>
    <t>Sorveteria tropikalia</t>
  </si>
  <si>
    <t>Café solange</t>
  </si>
  <si>
    <t>Shopping Salvador</t>
  </si>
  <si>
    <t>Orla atalaia</t>
  </si>
  <si>
    <t>centro de arte e cultura</t>
  </si>
  <si>
    <t>feira tales ferraz</t>
  </si>
  <si>
    <t>mercado municipal</t>
  </si>
  <si>
    <t>parque sementeira</t>
  </si>
  <si>
    <t>passarela do caranguejo</t>
  </si>
  <si>
    <t>colina do santo antonio</t>
  </si>
  <si>
    <t>largo da gente sergipana</t>
  </si>
  <si>
    <t>SÃO CRISTOVÃO</t>
  </si>
  <si>
    <t>carne de sol do ramiro</t>
  </si>
  <si>
    <t>projeto tamar</t>
  </si>
  <si>
    <t>Carona / UBER</t>
  </si>
  <si>
    <t>KM RODADOS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</si>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</sst>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$&quot;\ #,##0.00"/>
    <numFmt numFmtId="165" formatCode="[$-F400]h:mm:ss\ AM/PM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A0A0A"/>
      <name val="Google Sans"/>
      <charset val="1"/>
    </font>
    <font>
      <sz val="11"/>
      <color rgb="FF000000"/>
      <name val="-Apple-System"/>
      <charset val="1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0" borderId="0" xfId="1" applyNumberFormat="1" applyFont="1"/>
    <xf numFmtId="164" fontId="0" fillId="0" borderId="2" xfId="1" applyNumberFormat="1" applyFont="1" applyFill="1" applyBorder="1"/>
    <xf numFmtId="164" fontId="0" fillId="0" borderId="0" xfId="1" applyNumberFormat="1" applyFont="1" applyFill="1"/>
    <xf numFmtId="164" fontId="0" fillId="6" borderId="0" xfId="1" applyNumberFormat="1" applyFont="1" applyFill="1"/>
    <xf numFmtId="0" fontId="0" fillId="6" borderId="0" xfId="0" applyFill="1"/>
    <xf numFmtId="164" fontId="0" fillId="6" borderId="0" xfId="0" applyNumberFormat="1" applyFill="1"/>
    <xf numFmtId="0" fontId="2" fillId="0" borderId="0" xfId="0" applyFont="1"/>
    <xf numFmtId="0" fontId="0" fillId="0" borderId="3" xfId="0" applyBorder="1"/>
    <xf numFmtId="165" fontId="0" fillId="0" borderId="3" xfId="0" applyNumberFormat="1" applyBorder="1"/>
    <xf numFmtId="164" fontId="0" fillId="6" borderId="3" xfId="0" applyNumberFormat="1" applyFill="1" applyBorder="1"/>
    <xf numFmtId="16" fontId="0" fillId="7" borderId="3" xfId="0" applyNumberFormat="1" applyFill="1" applyBorder="1"/>
    <xf numFmtId="0" fontId="0" fillId="7" borderId="3" xfId="0" applyFill="1" applyBorder="1"/>
    <xf numFmtId="16" fontId="0" fillId="0" borderId="3" xfId="0" applyNumberFormat="1" applyBorder="1"/>
    <xf numFmtId="0" fontId="0" fillId="7" borderId="3" xfId="0" applyFill="1" applyBorder="1" applyAlignment="1">
      <alignment wrapText="1"/>
    </xf>
    <xf numFmtId="0" fontId="0" fillId="6" borderId="3" xfId="0" applyFill="1" applyBorder="1"/>
    <xf numFmtId="16" fontId="0" fillId="6" borderId="3" xfId="0" applyNumberFormat="1" applyFill="1" applyBorder="1"/>
    <xf numFmtId="16" fontId="0" fillId="8" borderId="3" xfId="0" applyNumberFormat="1" applyFill="1" applyBorder="1"/>
    <xf numFmtId="0" fontId="0" fillId="8" borderId="3" xfId="0" applyFill="1" applyBorder="1"/>
    <xf numFmtId="0" fontId="3" fillId="0" borderId="3" xfId="0" applyFont="1" applyBorder="1"/>
    <xf numFmtId="0" fontId="0" fillId="0" borderId="3" xfId="0" applyBorder="1" applyAlignment="1">
      <alignment wrapText="1"/>
    </xf>
    <xf numFmtId="16" fontId="0" fillId="9" borderId="3" xfId="0" applyNumberFormat="1" applyFill="1" applyBorder="1"/>
    <xf numFmtId="0" fontId="0" fillId="9" borderId="3" xfId="0" applyFill="1" applyBorder="1"/>
    <xf numFmtId="16" fontId="0" fillId="10" borderId="3" xfId="0" applyNumberFormat="1" applyFill="1" applyBorder="1"/>
    <xf numFmtId="0" fontId="0" fillId="10" borderId="3" xfId="0" applyFill="1" applyBorder="1"/>
    <xf numFmtId="164" fontId="0" fillId="3" borderId="3" xfId="0" applyNumberFormat="1" applyFill="1" applyBorder="1"/>
    <xf numFmtId="164" fontId="0" fillId="2" borderId="3" xfId="0" applyNumberFormat="1" applyFill="1" applyBorder="1"/>
    <xf numFmtId="164" fontId="0" fillId="11" borderId="3" xfId="0" applyNumberFormat="1" applyFill="1" applyBorder="1"/>
    <xf numFmtId="0" fontId="0" fillId="12" borderId="0" xfId="0" applyFill="1"/>
    <xf numFmtId="164" fontId="0" fillId="12" borderId="3" xfId="0" applyNumberFormat="1" applyFill="1" applyBorder="1"/>
    <xf numFmtId="164" fontId="0" fillId="13" borderId="3" xfId="0" applyNumberFormat="1" applyFill="1" applyBorder="1"/>
    <xf numFmtId="164" fontId="0" fillId="14" borderId="3" xfId="0" applyNumberFormat="1" applyFill="1" applyBorder="1"/>
    <xf numFmtId="164" fontId="0" fillId="15" borderId="3" xfId="0" applyNumberFormat="1" applyFill="1" applyBorder="1"/>
    <xf numFmtId="164" fontId="0" fillId="12" borderId="0" xfId="0" applyNumberFormat="1" applyFill="1"/>
    <xf numFmtId="0" fontId="0" fillId="2" borderId="0" xfId="0" applyFill="1"/>
    <xf numFmtId="0" fontId="0" fillId="0" borderId="0" xfId="0" applyAlignment="1">
      <alignment wrapText="1"/>
    </xf>
    <xf numFmtId="164" fontId="4" fillId="11" borderId="3" xfId="0" applyNumberFormat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A094-9359-4064-9E8C-344681807773}">
  <sheetPr>
    <pageSetUpPr fitToPage="1"/>
  </sheetPr>
  <dimension ref="A1:Q142"/>
  <sheetViews>
    <sheetView tabSelected="1" topLeftCell="A93" workbookViewId="0">
      <selection activeCell="D100" sqref="D100"/>
    </sheetView>
  </sheetViews>
  <sheetFormatPr defaultRowHeight="14.4"/>
  <cols>
    <col min="1" max="1" width="8" customWidth="1"/>
    <col min="2" max="2" width="13.6640625" customWidth="1"/>
    <col min="3" max="3" width="17.109375" customWidth="1"/>
    <col min="4" max="4" width="53.5546875" customWidth="1"/>
    <col min="5" max="5" width="8.44140625" style="2" customWidth="1"/>
    <col min="6" max="6" width="37" customWidth="1"/>
    <col min="7" max="7" width="15" style="18" customWidth="1"/>
    <col min="8" max="8" width="20.5546875" style="13" customWidth="1"/>
    <col min="9" max="9" width="9.109375" style="1"/>
    <col min="10" max="10" width="8.21875" customWidth="1"/>
    <col min="11" max="11" width="17.88671875" customWidth="1"/>
    <col min="12" max="12" width="24.88671875" bestFit="1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2" t="s">
        <v>6</v>
      </c>
      <c r="I1" s="1" t="s">
        <v>7</v>
      </c>
      <c r="J1" t="s">
        <v>8</v>
      </c>
      <c r="K1" t="s">
        <v>193</v>
      </c>
    </row>
    <row r="2" spans="1:12">
      <c r="A2" s="23">
        <v>46221</v>
      </c>
      <c r="B2" s="24" t="s">
        <v>9</v>
      </c>
      <c r="C2" s="20" t="s">
        <v>10</v>
      </c>
      <c r="D2" s="20" t="s">
        <v>11</v>
      </c>
      <c r="E2" s="21">
        <v>0.11458333333333333</v>
      </c>
      <c r="F2" s="20" t="s">
        <v>192</v>
      </c>
      <c r="G2" s="38">
        <v>60</v>
      </c>
      <c r="H2" s="13">
        <f>G112-G2</f>
        <v>12931.84</v>
      </c>
      <c r="L2" s="1"/>
    </row>
    <row r="3" spans="1:12">
      <c r="A3" s="23">
        <v>46221</v>
      </c>
      <c r="B3" s="24" t="s">
        <v>9</v>
      </c>
      <c r="C3" s="20" t="s">
        <v>10</v>
      </c>
      <c r="D3" s="20" t="s">
        <v>13</v>
      </c>
      <c r="E3" s="21">
        <v>0.20833333333333334</v>
      </c>
      <c r="F3" s="20" t="s">
        <v>14</v>
      </c>
      <c r="G3" s="22"/>
    </row>
    <row r="4" spans="1:12">
      <c r="A4" s="23">
        <v>46221</v>
      </c>
      <c r="B4" s="24" t="s">
        <v>9</v>
      </c>
      <c r="C4" s="20" t="s">
        <v>15</v>
      </c>
      <c r="D4" s="20" t="s">
        <v>13</v>
      </c>
      <c r="E4" s="21">
        <v>0.31597222222222221</v>
      </c>
      <c r="F4" s="20" t="s">
        <v>16</v>
      </c>
      <c r="G4" s="22"/>
      <c r="L4" s="1"/>
    </row>
    <row r="5" spans="1:12">
      <c r="A5" s="23">
        <v>46221</v>
      </c>
      <c r="B5" s="24" t="s">
        <v>9</v>
      </c>
      <c r="C5" s="20" t="s">
        <v>15</v>
      </c>
      <c r="D5" s="20" t="s">
        <v>13</v>
      </c>
      <c r="E5" s="21">
        <v>0.33333333333333331</v>
      </c>
      <c r="F5" s="20" t="s">
        <v>17</v>
      </c>
      <c r="G5" s="37">
        <v>150</v>
      </c>
      <c r="H5" s="13">
        <f>H2-G5</f>
        <v>12781.84</v>
      </c>
      <c r="L5" s="1"/>
    </row>
    <row r="6" spans="1:12">
      <c r="A6" s="23">
        <v>46221</v>
      </c>
      <c r="B6" s="24" t="s">
        <v>9</v>
      </c>
      <c r="C6" s="20" t="s">
        <v>15</v>
      </c>
      <c r="D6" s="20" t="s">
        <v>13</v>
      </c>
      <c r="E6" s="21">
        <v>0.37152777777777779</v>
      </c>
      <c r="F6" s="20" t="s">
        <v>14</v>
      </c>
      <c r="G6" s="22"/>
    </row>
    <row r="7" spans="1:12">
      <c r="A7" s="23">
        <v>46221</v>
      </c>
      <c r="B7" s="24" t="s">
        <v>9</v>
      </c>
      <c r="C7" s="20" t="s">
        <v>18</v>
      </c>
      <c r="D7" s="20" t="s">
        <v>13</v>
      </c>
      <c r="E7" s="21">
        <v>0.4548611111111111</v>
      </c>
      <c r="F7" s="20"/>
      <c r="G7" s="22"/>
    </row>
    <row r="8" spans="1:12">
      <c r="A8" s="23">
        <v>46221</v>
      </c>
      <c r="B8" s="24" t="s">
        <v>9</v>
      </c>
      <c r="C8" s="20" t="s">
        <v>18</v>
      </c>
      <c r="D8" s="20" t="s">
        <v>13</v>
      </c>
      <c r="E8" s="21">
        <v>0.5</v>
      </c>
      <c r="F8" s="20" t="s">
        <v>19</v>
      </c>
      <c r="G8" s="38">
        <v>1666.24</v>
      </c>
      <c r="H8" s="13">
        <f>H5-G8</f>
        <v>11115.6</v>
      </c>
    </row>
    <row r="9" spans="1:12">
      <c r="A9" s="23">
        <v>46221</v>
      </c>
      <c r="B9" s="24" t="s">
        <v>9</v>
      </c>
      <c r="C9" s="20" t="s">
        <v>18</v>
      </c>
      <c r="D9" s="20" t="s">
        <v>20</v>
      </c>
      <c r="E9" s="21">
        <v>0.54166666666666663</v>
      </c>
      <c r="F9" s="20"/>
      <c r="G9" s="37">
        <v>200</v>
      </c>
      <c r="H9" s="13">
        <f>H8-G9</f>
        <v>10915.6</v>
      </c>
    </row>
    <row r="10" spans="1:12">
      <c r="A10" s="23">
        <v>46221</v>
      </c>
      <c r="B10" s="24" t="s">
        <v>9</v>
      </c>
      <c r="C10" s="20" t="s">
        <v>18</v>
      </c>
      <c r="D10" s="20" t="s">
        <v>21</v>
      </c>
      <c r="E10" s="21">
        <v>0.58333333333333337</v>
      </c>
      <c r="F10" s="20"/>
      <c r="G10" s="39">
        <v>560</v>
      </c>
      <c r="H10" s="15">
        <f>H9-G10</f>
        <v>10355.6</v>
      </c>
      <c r="L10" t="s">
        <v>22</v>
      </c>
    </row>
    <row r="11" spans="1:12">
      <c r="A11" s="23">
        <v>46221</v>
      </c>
      <c r="B11" s="24" t="s">
        <v>9</v>
      </c>
      <c r="C11" s="20" t="s">
        <v>18</v>
      </c>
      <c r="D11" s="20" t="s">
        <v>23</v>
      </c>
      <c r="E11" s="21">
        <v>0.79166666666666663</v>
      </c>
      <c r="F11" s="21"/>
      <c r="G11" s="22"/>
      <c r="H11" s="15"/>
    </row>
    <row r="12" spans="1:12">
      <c r="A12" s="23">
        <v>46221</v>
      </c>
      <c r="B12" s="24" t="s">
        <v>9</v>
      </c>
      <c r="C12" s="20" t="s">
        <v>18</v>
      </c>
      <c r="D12" s="20" t="s">
        <v>24</v>
      </c>
      <c r="E12" s="21">
        <v>0.8125</v>
      </c>
      <c r="F12" s="21"/>
      <c r="G12" s="37">
        <v>150</v>
      </c>
      <c r="H12" s="15">
        <f>H10-G12</f>
        <v>10205.6</v>
      </c>
    </row>
    <row r="13" spans="1:12">
      <c r="A13" s="23">
        <v>46221</v>
      </c>
      <c r="B13" s="24" t="s">
        <v>9</v>
      </c>
      <c r="C13" s="20" t="s">
        <v>18</v>
      </c>
      <c r="D13" s="20" t="s">
        <v>25</v>
      </c>
      <c r="E13" s="21">
        <v>0.875</v>
      </c>
      <c r="F13" s="21"/>
      <c r="G13" s="37">
        <v>200</v>
      </c>
      <c r="H13" s="15">
        <f>H12-G13</f>
        <v>10005.6</v>
      </c>
    </row>
    <row r="14" spans="1:12">
      <c r="A14" s="23">
        <v>46221</v>
      </c>
      <c r="B14" s="24" t="s">
        <v>9</v>
      </c>
      <c r="C14" s="20" t="s">
        <v>18</v>
      </c>
      <c r="D14" s="20" t="s">
        <v>21</v>
      </c>
      <c r="E14" s="21">
        <v>0.89583333333333337</v>
      </c>
      <c r="F14" s="21"/>
      <c r="G14" s="22"/>
      <c r="H14" s="15"/>
      <c r="K14">
        <v>35</v>
      </c>
    </row>
    <row r="15" spans="1:12">
      <c r="A15" s="25">
        <v>46222</v>
      </c>
      <c r="B15" s="20" t="s">
        <v>26</v>
      </c>
      <c r="C15" s="20" t="s">
        <v>18</v>
      </c>
      <c r="D15" s="20" t="s">
        <v>27</v>
      </c>
      <c r="E15" s="21">
        <v>0.35416666666666669</v>
      </c>
      <c r="F15" s="20"/>
      <c r="G15" s="22"/>
    </row>
    <row r="16" spans="1:12">
      <c r="A16" s="25">
        <v>46222</v>
      </c>
      <c r="B16" s="20" t="s">
        <v>26</v>
      </c>
      <c r="C16" s="20" t="s">
        <v>18</v>
      </c>
      <c r="D16" s="20" t="s">
        <v>29</v>
      </c>
      <c r="E16" s="21"/>
      <c r="F16" s="20"/>
      <c r="G16" s="22"/>
    </row>
    <row r="17" spans="1:13">
      <c r="A17" s="25">
        <v>46222</v>
      </c>
      <c r="B17" s="20" t="s">
        <v>26</v>
      </c>
      <c r="C17" s="20" t="s">
        <v>18</v>
      </c>
      <c r="D17" s="20" t="s">
        <v>28</v>
      </c>
      <c r="E17" s="21">
        <v>0.39583333333333331</v>
      </c>
      <c r="F17" s="20"/>
      <c r="G17" s="22"/>
    </row>
    <row r="18" spans="1:13">
      <c r="A18" s="25">
        <v>46222</v>
      </c>
      <c r="B18" s="20" t="s">
        <v>26</v>
      </c>
      <c r="C18" s="20" t="s">
        <v>18</v>
      </c>
      <c r="D18" s="20" t="s">
        <v>20</v>
      </c>
      <c r="E18" s="21">
        <v>0.58333333333333337</v>
      </c>
      <c r="F18" s="20" t="s">
        <v>21</v>
      </c>
      <c r="G18" s="22"/>
    </row>
    <row r="19" spans="1:13">
      <c r="A19" s="25">
        <v>46222</v>
      </c>
      <c r="B19" s="20" t="s">
        <v>26</v>
      </c>
      <c r="C19" s="20" t="s">
        <v>18</v>
      </c>
      <c r="D19" s="20" t="s">
        <v>29</v>
      </c>
      <c r="E19" s="21">
        <v>0.72916666666666663</v>
      </c>
      <c r="F19" s="20"/>
      <c r="G19" s="37">
        <v>100</v>
      </c>
      <c r="H19" s="13">
        <f>H13-G19</f>
        <v>9905.6</v>
      </c>
    </row>
    <row r="20" spans="1:13">
      <c r="A20" s="25">
        <v>46222</v>
      </c>
      <c r="B20" s="20" t="s">
        <v>26</v>
      </c>
      <c r="C20" s="20" t="s">
        <v>18</v>
      </c>
      <c r="D20" s="20" t="s">
        <v>30</v>
      </c>
      <c r="E20" s="21">
        <v>0.8125</v>
      </c>
      <c r="F20" s="20"/>
      <c r="G20" s="37">
        <v>200</v>
      </c>
      <c r="H20" s="13">
        <f>H19-G20</f>
        <v>9705.6</v>
      </c>
    </row>
    <row r="21" spans="1:13">
      <c r="A21" s="25">
        <v>46222</v>
      </c>
      <c r="B21" s="20" t="s">
        <v>26</v>
      </c>
      <c r="C21" s="20" t="s">
        <v>18</v>
      </c>
      <c r="D21" s="20" t="s">
        <v>21</v>
      </c>
      <c r="E21" s="21">
        <v>0.875</v>
      </c>
      <c r="F21" s="20"/>
      <c r="G21" s="22"/>
    </row>
    <row r="22" spans="1:13" ht="15.75" customHeight="1">
      <c r="A22" s="23">
        <v>46223</v>
      </c>
      <c r="B22" s="26" t="s">
        <v>31</v>
      </c>
      <c r="C22" s="20" t="s">
        <v>18</v>
      </c>
      <c r="D22" s="20" t="s">
        <v>27</v>
      </c>
      <c r="E22" s="21">
        <v>0.35416666666666669</v>
      </c>
      <c r="F22" s="20"/>
      <c r="G22" s="22"/>
    </row>
    <row r="23" spans="1:13">
      <c r="A23" s="23">
        <v>46223</v>
      </c>
      <c r="B23" s="26" t="s">
        <v>31</v>
      </c>
      <c r="C23" s="20" t="s">
        <v>18</v>
      </c>
      <c r="D23" s="20" t="s">
        <v>32</v>
      </c>
      <c r="E23" s="21">
        <v>0.41666666666666669</v>
      </c>
      <c r="F23" s="20"/>
      <c r="G23" s="38">
        <v>300</v>
      </c>
      <c r="H23" s="13">
        <f>H20-G23</f>
        <v>9405.6</v>
      </c>
    </row>
    <row r="24" spans="1:13">
      <c r="A24" s="23">
        <v>46223</v>
      </c>
      <c r="B24" s="26" t="s">
        <v>31</v>
      </c>
      <c r="C24" s="20" t="s">
        <v>33</v>
      </c>
      <c r="D24" s="20" t="s">
        <v>33</v>
      </c>
      <c r="E24" s="21">
        <v>0.5</v>
      </c>
      <c r="F24" s="20"/>
      <c r="G24" s="37">
        <v>180</v>
      </c>
      <c r="H24" s="13">
        <f>H23-G24</f>
        <v>9225.6</v>
      </c>
    </row>
    <row r="25" spans="1:13">
      <c r="A25" s="23">
        <v>46223</v>
      </c>
      <c r="B25" s="26" t="s">
        <v>31</v>
      </c>
      <c r="C25" s="20" t="s">
        <v>34</v>
      </c>
      <c r="D25" s="20" t="s">
        <v>35</v>
      </c>
      <c r="E25" s="21">
        <v>0.70833333333333337</v>
      </c>
      <c r="F25" s="20"/>
      <c r="G25" s="48">
        <v>640</v>
      </c>
      <c r="H25" s="13">
        <f>H24-G25</f>
        <v>8585.6</v>
      </c>
      <c r="I25" s="48">
        <v>640</v>
      </c>
      <c r="J25" s="47" t="s">
        <v>194</v>
      </c>
      <c r="K25" s="47"/>
      <c r="L25" s="47" t="s">
        <v>36</v>
      </c>
      <c r="M25" s="47"/>
    </row>
    <row r="26" spans="1:13">
      <c r="A26" s="23">
        <v>46223</v>
      </c>
      <c r="B26" s="26" t="s">
        <v>31</v>
      </c>
      <c r="C26" s="20" t="s">
        <v>34</v>
      </c>
      <c r="D26" s="20" t="s">
        <v>37</v>
      </c>
      <c r="E26" s="21">
        <v>0.75</v>
      </c>
      <c r="F26" s="20"/>
      <c r="G26" s="22"/>
    </row>
    <row r="27" spans="1:13">
      <c r="A27" s="23">
        <v>46223</v>
      </c>
      <c r="B27" s="26" t="s">
        <v>31</v>
      </c>
      <c r="C27" s="20" t="s">
        <v>34</v>
      </c>
      <c r="D27" s="20" t="s">
        <v>24</v>
      </c>
      <c r="E27" s="21">
        <v>0.8125</v>
      </c>
      <c r="F27" s="20"/>
      <c r="G27" s="37">
        <v>150</v>
      </c>
      <c r="H27" s="13">
        <f>H25-G27</f>
        <v>8435.6</v>
      </c>
    </row>
    <row r="28" spans="1:13">
      <c r="A28" s="23">
        <v>46223</v>
      </c>
      <c r="B28" s="26" t="s">
        <v>31</v>
      </c>
      <c r="C28" s="20" t="s">
        <v>34</v>
      </c>
      <c r="D28" s="20" t="s">
        <v>25</v>
      </c>
      <c r="E28" s="21">
        <v>0.875</v>
      </c>
      <c r="F28" s="20"/>
      <c r="G28" s="37">
        <v>150</v>
      </c>
      <c r="H28" s="13">
        <f>H27-G28</f>
        <v>8285.6</v>
      </c>
    </row>
    <row r="29" spans="1:13">
      <c r="A29" s="25">
        <v>46224</v>
      </c>
      <c r="B29" s="20" t="s">
        <v>38</v>
      </c>
      <c r="C29" s="20" t="s">
        <v>34</v>
      </c>
      <c r="D29" s="20" t="s">
        <v>39</v>
      </c>
      <c r="E29" s="21">
        <v>0.35416666666666669</v>
      </c>
      <c r="F29" s="20"/>
      <c r="G29" s="22"/>
    </row>
    <row r="30" spans="1:13">
      <c r="A30" s="25">
        <v>46224</v>
      </c>
      <c r="B30" s="20" t="s">
        <v>38</v>
      </c>
      <c r="C30" s="20" t="s">
        <v>34</v>
      </c>
      <c r="D30" s="20" t="s">
        <v>40</v>
      </c>
      <c r="E30" s="21">
        <v>0.39583333333333331</v>
      </c>
      <c r="F30" s="20"/>
      <c r="G30" s="41">
        <v>200</v>
      </c>
      <c r="H30" s="13">
        <f>H27-G30</f>
        <v>8235.6</v>
      </c>
    </row>
    <row r="31" spans="1:13">
      <c r="A31" s="25">
        <v>46224</v>
      </c>
      <c r="B31" s="20" t="s">
        <v>38</v>
      </c>
      <c r="C31" s="20" t="s">
        <v>34</v>
      </c>
      <c r="D31" s="20" t="s">
        <v>41</v>
      </c>
      <c r="E31" s="21">
        <v>0.5</v>
      </c>
      <c r="F31" s="20"/>
      <c r="G31" s="37">
        <v>150</v>
      </c>
      <c r="H31" s="13">
        <f>H30-G31</f>
        <v>8085.6</v>
      </c>
    </row>
    <row r="32" spans="1:13">
      <c r="A32" s="25">
        <v>46224</v>
      </c>
      <c r="B32" s="20" t="s">
        <v>38</v>
      </c>
      <c r="C32" s="20" t="s">
        <v>34</v>
      </c>
      <c r="D32" s="20" t="s">
        <v>42</v>
      </c>
      <c r="E32" s="21">
        <v>0.625</v>
      </c>
      <c r="F32" s="20"/>
      <c r="G32" s="22"/>
    </row>
    <row r="33" spans="1:17">
      <c r="A33" s="25">
        <v>46224</v>
      </c>
      <c r="B33" s="20" t="s">
        <v>38</v>
      </c>
      <c r="C33" s="20" t="s">
        <v>34</v>
      </c>
      <c r="D33" s="20" t="s">
        <v>43</v>
      </c>
      <c r="E33" s="21">
        <v>0.70833333333333337</v>
      </c>
      <c r="F33" s="20"/>
      <c r="G33" s="22"/>
    </row>
    <row r="34" spans="1:17">
      <c r="A34" s="25">
        <v>46224</v>
      </c>
      <c r="B34" s="20" t="s">
        <v>38</v>
      </c>
      <c r="C34" s="20" t="s">
        <v>34</v>
      </c>
      <c r="D34" s="20" t="s">
        <v>24</v>
      </c>
      <c r="E34" s="21">
        <v>0.83333333333333337</v>
      </c>
      <c r="F34" s="20"/>
      <c r="G34" s="37">
        <v>150</v>
      </c>
      <c r="H34" s="13">
        <f>H31-G34</f>
        <v>7935.6</v>
      </c>
      <c r="N34" s="3"/>
      <c r="O34" s="6" t="s">
        <v>51</v>
      </c>
      <c r="P34" s="6"/>
      <c r="Q34" s="10"/>
    </row>
    <row r="35" spans="1:17">
      <c r="A35" s="25">
        <v>46224</v>
      </c>
      <c r="B35" s="20" t="s">
        <v>38</v>
      </c>
      <c r="C35" s="20" t="s">
        <v>34</v>
      </c>
      <c r="D35" s="20" t="s">
        <v>43</v>
      </c>
      <c r="E35" s="21">
        <v>0.875</v>
      </c>
      <c r="F35" s="20"/>
      <c r="G35" s="22"/>
      <c r="O35" s="5" t="s">
        <v>54</v>
      </c>
      <c r="P35" s="5"/>
      <c r="Q35" s="9"/>
    </row>
    <row r="36" spans="1:17">
      <c r="A36" s="23">
        <v>46225</v>
      </c>
      <c r="B36" s="24" t="s">
        <v>44</v>
      </c>
      <c r="C36" s="20" t="s">
        <v>34</v>
      </c>
      <c r="D36" s="20" t="s">
        <v>39</v>
      </c>
      <c r="E36" s="21">
        <v>0.375</v>
      </c>
      <c r="F36" s="27"/>
      <c r="G36" s="22"/>
      <c r="H36" s="15"/>
      <c r="O36" s="7" t="s">
        <v>56</v>
      </c>
      <c r="P36" s="7"/>
      <c r="Q36" s="11"/>
    </row>
    <row r="37" spans="1:17">
      <c r="A37" s="23">
        <v>46225</v>
      </c>
      <c r="B37" s="24" t="s">
        <v>44</v>
      </c>
      <c r="C37" s="20" t="s">
        <v>34</v>
      </c>
      <c r="D37" s="20" t="s">
        <v>45</v>
      </c>
      <c r="E37" s="21">
        <v>0.41666666666666669</v>
      </c>
      <c r="F37" s="27" t="s">
        <v>46</v>
      </c>
      <c r="G37" s="42">
        <v>200</v>
      </c>
      <c r="H37" s="15">
        <f>H34-G37</f>
        <v>7735.6</v>
      </c>
      <c r="O37" s="8" t="s">
        <v>57</v>
      </c>
      <c r="P37" s="8"/>
      <c r="Q37" s="12"/>
    </row>
    <row r="38" spans="1:17">
      <c r="A38" s="23">
        <v>46225</v>
      </c>
      <c r="B38" s="24" t="s">
        <v>44</v>
      </c>
      <c r="C38" s="20" t="s">
        <v>34</v>
      </c>
      <c r="D38" s="20" t="s">
        <v>33</v>
      </c>
      <c r="E38" s="21">
        <v>0.5</v>
      </c>
      <c r="F38" s="27"/>
      <c r="G38" s="37">
        <v>150</v>
      </c>
      <c r="H38" s="15">
        <f>H37-G38</f>
        <v>7585.6</v>
      </c>
      <c r="O38" s="40" t="s">
        <v>59</v>
      </c>
      <c r="P38" s="40"/>
      <c r="Q38" s="45"/>
    </row>
    <row r="39" spans="1:17">
      <c r="A39" s="23">
        <v>46225</v>
      </c>
      <c r="B39" s="24" t="s">
        <v>44</v>
      </c>
      <c r="C39" s="20" t="s">
        <v>34</v>
      </c>
      <c r="D39" s="20" t="s">
        <v>43</v>
      </c>
      <c r="E39" s="21">
        <v>0.66666666666666663</v>
      </c>
      <c r="F39" s="20"/>
      <c r="G39" s="22"/>
      <c r="I39" s="4"/>
      <c r="N39" s="3"/>
    </row>
    <row r="40" spans="1:17">
      <c r="A40" s="23">
        <v>46225</v>
      </c>
      <c r="B40" s="24" t="s">
        <v>44</v>
      </c>
      <c r="C40" s="20" t="s">
        <v>34</v>
      </c>
      <c r="D40" s="20" t="s">
        <v>47</v>
      </c>
      <c r="E40" s="21">
        <v>0.75</v>
      </c>
      <c r="F40" s="27"/>
      <c r="G40" s="22"/>
      <c r="I40" s="4"/>
    </row>
    <row r="41" spans="1:17">
      <c r="A41" s="23">
        <v>46225</v>
      </c>
      <c r="B41" s="24" t="s">
        <v>44</v>
      </c>
      <c r="C41" s="20" t="s">
        <v>34</v>
      </c>
      <c r="D41" s="20" t="s">
        <v>24</v>
      </c>
      <c r="E41" s="21">
        <v>0.83333333333333337</v>
      </c>
      <c r="F41" s="27"/>
      <c r="G41" s="37">
        <v>150</v>
      </c>
      <c r="H41" s="16">
        <f>H38-G41</f>
        <v>7435.6</v>
      </c>
      <c r="I41" s="4"/>
    </row>
    <row r="42" spans="1:17">
      <c r="A42" s="23">
        <v>46225</v>
      </c>
      <c r="B42" s="24" t="s">
        <v>44</v>
      </c>
      <c r="C42" s="20" t="s">
        <v>34</v>
      </c>
      <c r="D42" s="20" t="s">
        <v>43</v>
      </c>
      <c r="E42" s="21">
        <v>0.89583333333333337</v>
      </c>
      <c r="F42" s="27"/>
      <c r="G42" s="22"/>
      <c r="I42" s="4"/>
    </row>
    <row r="43" spans="1:17">
      <c r="A43" s="28">
        <v>46226</v>
      </c>
      <c r="B43" s="27" t="s">
        <v>48</v>
      </c>
      <c r="C43" s="20" t="s">
        <v>34</v>
      </c>
      <c r="D43" s="20" t="s">
        <v>27</v>
      </c>
      <c r="E43" s="21">
        <v>0.33333333333333331</v>
      </c>
      <c r="F43" s="20"/>
      <c r="G43" s="22"/>
      <c r="H43" s="15"/>
      <c r="I43" s="4"/>
    </row>
    <row r="44" spans="1:17">
      <c r="A44" s="28">
        <v>46226</v>
      </c>
      <c r="B44" s="27" t="s">
        <v>48</v>
      </c>
      <c r="C44" s="20" t="s">
        <v>34</v>
      </c>
      <c r="D44" s="20" t="s">
        <v>49</v>
      </c>
      <c r="E44" s="21">
        <v>0.375</v>
      </c>
      <c r="F44" s="20"/>
      <c r="G44" s="22"/>
      <c r="H44" s="15"/>
      <c r="I44" s="4"/>
    </row>
    <row r="45" spans="1:17">
      <c r="A45" s="28">
        <v>46226</v>
      </c>
      <c r="B45" s="27" t="s">
        <v>48</v>
      </c>
      <c r="C45" s="20" t="s">
        <v>34</v>
      </c>
      <c r="D45" s="20" t="s">
        <v>50</v>
      </c>
      <c r="E45" s="21">
        <v>0.5</v>
      </c>
      <c r="F45" s="20"/>
      <c r="G45" s="37">
        <v>150</v>
      </c>
      <c r="H45" s="15">
        <f>H41-G45</f>
        <v>7285.6</v>
      </c>
      <c r="I45" s="4"/>
    </row>
    <row r="46" spans="1:17">
      <c r="A46" s="28">
        <v>46226</v>
      </c>
      <c r="B46" s="27" t="s">
        <v>48</v>
      </c>
      <c r="C46" s="20" t="s">
        <v>52</v>
      </c>
      <c r="D46" s="20" t="s">
        <v>53</v>
      </c>
      <c r="E46" s="21">
        <v>0.52083333333333337</v>
      </c>
      <c r="F46" s="20"/>
      <c r="G46" s="22"/>
      <c r="H46" s="15"/>
      <c r="I46" s="4"/>
    </row>
    <row r="47" spans="1:17">
      <c r="A47" s="28">
        <v>46226</v>
      </c>
      <c r="B47" s="27" t="s">
        <v>48</v>
      </c>
      <c r="C47" s="20" t="s">
        <v>52</v>
      </c>
      <c r="D47" s="20" t="s">
        <v>55</v>
      </c>
      <c r="E47" s="21">
        <v>0.70833333333333337</v>
      </c>
      <c r="F47" s="20"/>
      <c r="G47" s="39">
        <v>1610.6</v>
      </c>
      <c r="H47" s="13">
        <f>H45-G47</f>
        <v>5675</v>
      </c>
      <c r="I47" s="4"/>
    </row>
    <row r="48" spans="1:17">
      <c r="A48" s="28">
        <v>46226</v>
      </c>
      <c r="B48" s="27" t="s">
        <v>48</v>
      </c>
      <c r="C48" s="20" t="s">
        <v>52</v>
      </c>
      <c r="D48" s="20" t="s">
        <v>24</v>
      </c>
      <c r="E48" s="21">
        <v>0.79166666666666663</v>
      </c>
      <c r="F48" s="20"/>
      <c r="G48" s="37">
        <v>200</v>
      </c>
      <c r="H48" s="13">
        <f>H47-G48</f>
        <v>5475</v>
      </c>
      <c r="I48" s="4"/>
    </row>
    <row r="49" spans="1:8">
      <c r="A49" s="29">
        <v>46227</v>
      </c>
      <c r="B49" s="30" t="s">
        <v>58</v>
      </c>
      <c r="C49" s="20" t="s">
        <v>52</v>
      </c>
      <c r="D49" s="20" t="s">
        <v>27</v>
      </c>
      <c r="E49" s="21">
        <v>0.35416666666666669</v>
      </c>
      <c r="F49" s="20"/>
      <c r="G49" s="22"/>
    </row>
    <row r="50" spans="1:8">
      <c r="A50" s="29">
        <v>46227</v>
      </c>
      <c r="B50" s="30" t="s">
        <v>58</v>
      </c>
      <c r="C50" s="20" t="s">
        <v>52</v>
      </c>
      <c r="D50" s="20" t="s">
        <v>60</v>
      </c>
      <c r="E50" s="21">
        <v>0.39583333333333331</v>
      </c>
      <c r="F50" s="20"/>
      <c r="G50" s="22"/>
      <c r="H50" s="16"/>
    </row>
    <row r="51" spans="1:8">
      <c r="A51" s="29">
        <v>46227</v>
      </c>
      <c r="B51" s="30" t="s">
        <v>58</v>
      </c>
      <c r="C51" s="20" t="s">
        <v>52</v>
      </c>
      <c r="D51" s="20" t="s">
        <v>33</v>
      </c>
      <c r="E51" s="21">
        <v>0.5</v>
      </c>
      <c r="F51" s="20"/>
      <c r="G51" s="37">
        <v>200</v>
      </c>
      <c r="H51" s="13">
        <f>H48-G51</f>
        <v>5275</v>
      </c>
    </row>
    <row r="52" spans="1:8">
      <c r="A52" s="29">
        <v>46227</v>
      </c>
      <c r="B52" s="30" t="s">
        <v>58</v>
      </c>
      <c r="C52" s="20" t="s">
        <v>52</v>
      </c>
      <c r="D52" s="20" t="s">
        <v>61</v>
      </c>
      <c r="E52" s="21">
        <v>0.5625</v>
      </c>
      <c r="F52" s="20"/>
      <c r="G52" s="22"/>
      <c r="H52" s="13">
        <f>H51-G52</f>
        <v>5275</v>
      </c>
    </row>
    <row r="53" spans="1:8">
      <c r="A53" s="29">
        <v>46227</v>
      </c>
      <c r="B53" s="30" t="s">
        <v>58</v>
      </c>
      <c r="C53" s="20" t="s">
        <v>52</v>
      </c>
      <c r="D53" s="20" t="s">
        <v>43</v>
      </c>
      <c r="E53" s="21">
        <v>0.625</v>
      </c>
      <c r="F53" s="20"/>
      <c r="G53" s="22"/>
    </row>
    <row r="54" spans="1:8">
      <c r="A54" s="29">
        <v>46227</v>
      </c>
      <c r="B54" s="30" t="s">
        <v>58</v>
      </c>
      <c r="C54" s="20" t="s">
        <v>52</v>
      </c>
      <c r="D54" s="20" t="s">
        <v>30</v>
      </c>
      <c r="E54" s="21">
        <v>0.8125</v>
      </c>
      <c r="F54" s="20"/>
      <c r="G54" s="37">
        <v>200</v>
      </c>
      <c r="H54" s="13">
        <f>H52-G54</f>
        <v>5075</v>
      </c>
    </row>
    <row r="55" spans="1:8">
      <c r="A55" s="29">
        <v>46227</v>
      </c>
      <c r="B55" s="30" t="s">
        <v>58</v>
      </c>
      <c r="C55" s="20" t="s">
        <v>52</v>
      </c>
      <c r="D55" s="20" t="s">
        <v>21</v>
      </c>
      <c r="E55" s="21">
        <v>0.85416666666666663</v>
      </c>
      <c r="F55" s="20"/>
      <c r="G55" s="22"/>
    </row>
    <row r="56" spans="1:8" ht="17.25" customHeight="1">
      <c r="A56" s="25">
        <v>46228</v>
      </c>
      <c r="B56" s="20" t="s">
        <v>9</v>
      </c>
      <c r="C56" s="20" t="s">
        <v>52</v>
      </c>
      <c r="D56" s="20" t="s">
        <v>27</v>
      </c>
      <c r="E56" s="21">
        <v>0.35416666666666669</v>
      </c>
      <c r="F56" s="20"/>
      <c r="G56" s="22"/>
    </row>
    <row r="57" spans="1:8">
      <c r="A57" s="25">
        <v>46228</v>
      </c>
      <c r="B57" s="20" t="s">
        <v>9</v>
      </c>
      <c r="C57" s="20" t="s">
        <v>52</v>
      </c>
      <c r="D57" s="20" t="s">
        <v>62</v>
      </c>
      <c r="E57" s="21">
        <v>0.375</v>
      </c>
      <c r="F57" s="20"/>
      <c r="G57" s="22"/>
      <c r="H57" s="13">
        <f>H54-G57</f>
        <v>5075</v>
      </c>
    </row>
    <row r="58" spans="1:8">
      <c r="A58" s="25">
        <v>46228</v>
      </c>
      <c r="B58" s="20" t="s">
        <v>9</v>
      </c>
      <c r="C58" s="20" t="s">
        <v>18</v>
      </c>
      <c r="D58" s="20" t="s">
        <v>63</v>
      </c>
      <c r="E58" s="21">
        <v>0.4375</v>
      </c>
      <c r="F58" s="20"/>
      <c r="G58" s="22"/>
      <c r="H58" s="13">
        <f>H57-G58</f>
        <v>5075</v>
      </c>
    </row>
    <row r="59" spans="1:8">
      <c r="A59" s="25">
        <v>46228</v>
      </c>
      <c r="B59" s="20" t="s">
        <v>9</v>
      </c>
      <c r="C59" s="20" t="s">
        <v>18</v>
      </c>
      <c r="D59" s="20" t="s">
        <v>64</v>
      </c>
      <c r="E59" s="21">
        <v>0.4375</v>
      </c>
      <c r="F59" s="20"/>
      <c r="G59" s="22"/>
    </row>
    <row r="60" spans="1:8">
      <c r="A60" s="25">
        <v>46228</v>
      </c>
      <c r="B60" s="20" t="s">
        <v>9</v>
      </c>
      <c r="C60" s="20" t="s">
        <v>18</v>
      </c>
      <c r="D60" s="20" t="s">
        <v>65</v>
      </c>
      <c r="E60" s="21">
        <v>0.38541666666666669</v>
      </c>
      <c r="F60" s="20"/>
      <c r="G60" s="22"/>
      <c r="H60" s="16"/>
    </row>
    <row r="61" spans="1:8">
      <c r="A61" s="25">
        <v>46228</v>
      </c>
      <c r="B61" s="20" t="s">
        <v>9</v>
      </c>
      <c r="C61" s="20" t="s">
        <v>18</v>
      </c>
      <c r="D61" s="20" t="s">
        <v>66</v>
      </c>
      <c r="E61" s="21">
        <v>0.39583333333333331</v>
      </c>
      <c r="F61" s="20"/>
      <c r="G61" s="44">
        <v>5</v>
      </c>
      <c r="H61" s="16">
        <f>H57-G61</f>
        <v>5070</v>
      </c>
    </row>
    <row r="62" spans="1:8">
      <c r="A62" s="25">
        <v>46228</v>
      </c>
      <c r="B62" s="20" t="s">
        <v>9</v>
      </c>
      <c r="C62" s="20" t="s">
        <v>18</v>
      </c>
      <c r="D62" s="20" t="s">
        <v>67</v>
      </c>
      <c r="E62" s="21">
        <v>0.39583333333333331</v>
      </c>
      <c r="F62" s="20"/>
      <c r="G62" s="37">
        <v>100</v>
      </c>
      <c r="H62" s="16">
        <f>H61-G62</f>
        <v>4970</v>
      </c>
    </row>
    <row r="63" spans="1:8">
      <c r="A63" s="25">
        <v>46228</v>
      </c>
      <c r="B63" s="20" t="s">
        <v>9</v>
      </c>
      <c r="C63" s="20" t="s">
        <v>18</v>
      </c>
      <c r="D63" s="20" t="s">
        <v>68</v>
      </c>
      <c r="E63" s="21">
        <v>0.41666666666666669</v>
      </c>
      <c r="F63" s="20"/>
      <c r="G63" s="44">
        <v>20</v>
      </c>
      <c r="H63" s="16">
        <f>H62-G63</f>
        <v>4950</v>
      </c>
    </row>
    <row r="64" spans="1:8">
      <c r="A64" s="25">
        <v>46228</v>
      </c>
      <c r="B64" s="20" t="s">
        <v>9</v>
      </c>
      <c r="C64" s="20" t="s">
        <v>18</v>
      </c>
      <c r="D64" s="20" t="s">
        <v>20</v>
      </c>
      <c r="E64" s="21">
        <v>0.5</v>
      </c>
      <c r="F64" s="20"/>
      <c r="G64" s="37">
        <v>170</v>
      </c>
      <c r="H64" s="16">
        <f>H63-G64</f>
        <v>4780</v>
      </c>
    </row>
    <row r="65" spans="1:12">
      <c r="A65" s="25">
        <v>46228</v>
      </c>
      <c r="B65" s="20" t="s">
        <v>9</v>
      </c>
      <c r="C65" s="20" t="s">
        <v>18</v>
      </c>
      <c r="D65" s="20" t="s">
        <v>69</v>
      </c>
      <c r="E65" s="21">
        <v>0.54166666666666663</v>
      </c>
      <c r="F65" s="20"/>
      <c r="G65" s="41">
        <v>200</v>
      </c>
      <c r="H65" s="13">
        <f>H63-G65</f>
        <v>4750</v>
      </c>
    </row>
    <row r="66" spans="1:12">
      <c r="A66" s="25">
        <v>46228</v>
      </c>
      <c r="B66" s="20" t="s">
        <v>9</v>
      </c>
      <c r="C66" s="20" t="s">
        <v>18</v>
      </c>
      <c r="D66" s="31" t="s">
        <v>70</v>
      </c>
      <c r="E66" s="21">
        <v>0.625</v>
      </c>
      <c r="F66" s="20"/>
      <c r="G66" s="22"/>
      <c r="H66" s="16"/>
      <c r="J66" s="17"/>
      <c r="K66" s="17"/>
      <c r="L66" s="18"/>
    </row>
    <row r="67" spans="1:12">
      <c r="A67" s="25">
        <v>46228</v>
      </c>
      <c r="B67" s="20" t="s">
        <v>9</v>
      </c>
      <c r="C67" s="20" t="s">
        <v>18</v>
      </c>
      <c r="D67" s="32" t="s">
        <v>71</v>
      </c>
      <c r="E67" s="21">
        <v>0.70833333333333337</v>
      </c>
      <c r="F67" s="20"/>
      <c r="G67" s="22"/>
      <c r="L67" s="1"/>
    </row>
    <row r="68" spans="1:12">
      <c r="A68" s="25">
        <v>46228</v>
      </c>
      <c r="B68" s="20" t="s">
        <v>9</v>
      </c>
      <c r="C68" s="20" t="s">
        <v>18</v>
      </c>
      <c r="D68" s="32" t="s">
        <v>72</v>
      </c>
      <c r="E68" s="21">
        <v>0.75</v>
      </c>
      <c r="F68" s="20"/>
      <c r="G68" s="22">
        <v>300</v>
      </c>
      <c r="H68" s="13">
        <f>H65-G68</f>
        <v>4450</v>
      </c>
      <c r="L68" s="1"/>
    </row>
    <row r="69" spans="1:12">
      <c r="A69" s="25">
        <v>46228</v>
      </c>
      <c r="B69" s="20" t="s">
        <v>9</v>
      </c>
      <c r="C69" s="20" t="s">
        <v>18</v>
      </c>
      <c r="D69" s="20" t="s">
        <v>21</v>
      </c>
      <c r="E69" s="21">
        <v>0.8125</v>
      </c>
      <c r="F69" s="20"/>
      <c r="G69" s="22">
        <v>1600</v>
      </c>
      <c r="H69" s="15">
        <f>H68-G69</f>
        <v>2850</v>
      </c>
    </row>
    <row r="70" spans="1:12">
      <c r="A70" s="25">
        <v>46228</v>
      </c>
      <c r="B70" s="20" t="s">
        <v>9</v>
      </c>
      <c r="C70" s="20" t="s">
        <v>18</v>
      </c>
      <c r="D70" s="20" t="s">
        <v>24</v>
      </c>
      <c r="E70" s="21">
        <v>0.83333333333333337</v>
      </c>
      <c r="F70" s="20"/>
      <c r="G70" s="37">
        <v>200</v>
      </c>
      <c r="H70" s="14">
        <f>H69-G70</f>
        <v>2650</v>
      </c>
    </row>
    <row r="71" spans="1:12">
      <c r="A71" s="33">
        <v>46229</v>
      </c>
      <c r="B71" s="34" t="s">
        <v>26</v>
      </c>
      <c r="C71" s="20" t="s">
        <v>18</v>
      </c>
      <c r="D71" s="20" t="s">
        <v>27</v>
      </c>
      <c r="E71" s="21">
        <v>0.35416666666666669</v>
      </c>
      <c r="F71" s="20"/>
      <c r="G71" s="22"/>
    </row>
    <row r="72" spans="1:12">
      <c r="A72" s="33">
        <v>46229</v>
      </c>
      <c r="B72" s="34" t="s">
        <v>26</v>
      </c>
      <c r="C72" s="20" t="s">
        <v>18</v>
      </c>
      <c r="D72" s="20" t="s">
        <v>73</v>
      </c>
      <c r="E72" s="21">
        <v>0.41666666666666669</v>
      </c>
      <c r="F72" s="20"/>
      <c r="G72" s="22"/>
      <c r="H72" s="16"/>
    </row>
    <row r="73" spans="1:12">
      <c r="A73" s="33">
        <v>46229</v>
      </c>
      <c r="B73" s="34" t="s">
        <v>26</v>
      </c>
      <c r="C73" s="20" t="s">
        <v>18</v>
      </c>
      <c r="D73" s="20" t="s">
        <v>33</v>
      </c>
      <c r="E73" s="21">
        <v>0.5</v>
      </c>
      <c r="F73" s="20"/>
      <c r="G73" s="37">
        <v>200</v>
      </c>
      <c r="H73" s="13">
        <f>H70-G73</f>
        <v>2450</v>
      </c>
    </row>
    <row r="74" spans="1:12">
      <c r="A74" s="33">
        <v>46229</v>
      </c>
      <c r="B74" s="34" t="s">
        <v>26</v>
      </c>
      <c r="C74" s="20" t="s">
        <v>18</v>
      </c>
      <c r="D74" s="20" t="s">
        <v>21</v>
      </c>
      <c r="E74" s="21">
        <v>0.58333333333333337</v>
      </c>
      <c r="F74" s="20"/>
      <c r="G74" s="22"/>
    </row>
    <row r="75" spans="1:12">
      <c r="A75" s="33">
        <v>46229</v>
      </c>
      <c r="B75" s="34" t="s">
        <v>26</v>
      </c>
      <c r="C75" s="20" t="s">
        <v>18</v>
      </c>
      <c r="D75" s="20" t="s">
        <v>74</v>
      </c>
      <c r="E75" s="21">
        <v>0.72916666666666663</v>
      </c>
      <c r="F75" s="20"/>
      <c r="G75" s="44">
        <v>100</v>
      </c>
      <c r="H75" s="13">
        <f>H73-G75</f>
        <v>2350</v>
      </c>
    </row>
    <row r="76" spans="1:12">
      <c r="A76" s="33">
        <v>46229</v>
      </c>
      <c r="B76" s="34" t="s">
        <v>26</v>
      </c>
      <c r="C76" s="20" t="s">
        <v>18</v>
      </c>
      <c r="D76" s="20" t="s">
        <v>75</v>
      </c>
      <c r="E76" s="21">
        <v>0.75</v>
      </c>
      <c r="F76" s="20"/>
      <c r="G76" s="44">
        <v>150</v>
      </c>
      <c r="H76" s="13">
        <f>H75-G76</f>
        <v>2200</v>
      </c>
    </row>
    <row r="77" spans="1:12">
      <c r="A77" s="25">
        <v>46230</v>
      </c>
      <c r="B77" s="20" t="s">
        <v>31</v>
      </c>
      <c r="C77" s="20" t="s">
        <v>18</v>
      </c>
      <c r="D77" s="20" t="s">
        <v>39</v>
      </c>
      <c r="E77" s="21">
        <v>0.33333333333333331</v>
      </c>
      <c r="F77" s="20"/>
      <c r="G77" s="22"/>
    </row>
    <row r="78" spans="1:12">
      <c r="A78" s="25">
        <v>46230</v>
      </c>
      <c r="B78" s="20" t="s">
        <v>31</v>
      </c>
      <c r="C78" s="20" t="s">
        <v>18</v>
      </c>
      <c r="D78" s="20" t="s">
        <v>76</v>
      </c>
      <c r="E78" s="21">
        <v>0.39583333333333331</v>
      </c>
      <c r="F78" s="20"/>
      <c r="G78" s="22"/>
    </row>
    <row r="79" spans="1:12">
      <c r="A79" s="25">
        <v>46230</v>
      </c>
      <c r="B79" s="20" t="s">
        <v>31</v>
      </c>
      <c r="C79" s="20" t="s">
        <v>18</v>
      </c>
      <c r="D79" s="20" t="s">
        <v>77</v>
      </c>
      <c r="E79" s="21">
        <v>0.41666666666666669</v>
      </c>
      <c r="F79" s="20"/>
      <c r="G79" s="22"/>
    </row>
    <row r="80" spans="1:12">
      <c r="A80" s="25">
        <v>46230</v>
      </c>
      <c r="B80" s="20" t="s">
        <v>31</v>
      </c>
      <c r="C80" s="20" t="s">
        <v>18</v>
      </c>
      <c r="D80" s="20" t="s">
        <v>78</v>
      </c>
      <c r="E80" s="21">
        <v>0.4375</v>
      </c>
      <c r="F80" s="20"/>
      <c r="G80" s="22"/>
    </row>
    <row r="81" spans="1:7">
      <c r="A81" s="25">
        <v>46230</v>
      </c>
      <c r="B81" s="20" t="s">
        <v>31</v>
      </c>
      <c r="C81" s="20" t="s">
        <v>18</v>
      </c>
      <c r="D81" s="20" t="s">
        <v>79</v>
      </c>
      <c r="E81" s="21">
        <v>0.45833333333333331</v>
      </c>
      <c r="F81" s="20"/>
      <c r="G81" s="41">
        <v>100</v>
      </c>
    </row>
    <row r="82" spans="1:7">
      <c r="A82" s="25">
        <v>46230</v>
      </c>
      <c r="B82" s="20" t="s">
        <v>31</v>
      </c>
      <c r="C82" s="20" t="s">
        <v>18</v>
      </c>
      <c r="D82" s="20" t="s">
        <v>80</v>
      </c>
      <c r="E82" s="21">
        <v>0.45833333333333331</v>
      </c>
      <c r="F82" s="20"/>
      <c r="G82" s="22"/>
    </row>
    <row r="83" spans="1:7">
      <c r="A83" s="25">
        <v>46230</v>
      </c>
      <c r="B83" s="20" t="s">
        <v>31</v>
      </c>
      <c r="C83" s="20" t="s">
        <v>18</v>
      </c>
      <c r="D83" s="20" t="s">
        <v>33</v>
      </c>
      <c r="E83" s="21">
        <v>0.5</v>
      </c>
      <c r="F83" s="20"/>
      <c r="G83" s="22"/>
    </row>
    <row r="84" spans="1:7">
      <c r="A84" s="25">
        <v>46230</v>
      </c>
      <c r="B84" s="20" t="s">
        <v>31</v>
      </c>
      <c r="C84" s="20" t="s">
        <v>18</v>
      </c>
      <c r="D84" s="20" t="s">
        <v>81</v>
      </c>
      <c r="E84" s="21">
        <v>0.58333333333333337</v>
      </c>
      <c r="F84" s="20"/>
      <c r="G84" s="22"/>
    </row>
    <row r="85" spans="1:7">
      <c r="A85" s="25">
        <v>46230</v>
      </c>
      <c r="B85" s="20" t="s">
        <v>31</v>
      </c>
      <c r="C85" s="20" t="s">
        <v>18</v>
      </c>
      <c r="D85" s="20" t="s">
        <v>82</v>
      </c>
      <c r="E85" s="21">
        <v>0.66666666666666663</v>
      </c>
      <c r="F85" s="20"/>
      <c r="G85" s="43">
        <v>100</v>
      </c>
    </row>
    <row r="86" spans="1:7">
      <c r="A86" s="25">
        <v>46230</v>
      </c>
      <c r="B86" s="20" t="s">
        <v>31</v>
      </c>
      <c r="C86" s="20" t="s">
        <v>18</v>
      </c>
      <c r="D86" s="20" t="s">
        <v>83</v>
      </c>
      <c r="E86" s="21">
        <v>0.70833333333333337</v>
      </c>
      <c r="F86" s="20"/>
      <c r="G86" s="22"/>
    </row>
    <row r="87" spans="1:7">
      <c r="A87" s="25">
        <v>46230</v>
      </c>
      <c r="B87" s="20" t="s">
        <v>31</v>
      </c>
      <c r="C87" s="20" t="s">
        <v>18</v>
      </c>
      <c r="D87" s="20" t="s">
        <v>43</v>
      </c>
      <c r="E87" s="21">
        <v>0.77083333333333337</v>
      </c>
      <c r="F87" s="20"/>
      <c r="G87" s="22"/>
    </row>
    <row r="88" spans="1:7">
      <c r="A88" s="25">
        <v>46230</v>
      </c>
      <c r="B88" s="20" t="s">
        <v>31</v>
      </c>
      <c r="C88" s="20" t="s">
        <v>18</v>
      </c>
      <c r="D88" s="20" t="s">
        <v>24</v>
      </c>
      <c r="E88" s="21">
        <v>0.85416666666666663</v>
      </c>
      <c r="F88" s="20"/>
      <c r="G88" s="37">
        <v>170</v>
      </c>
    </row>
    <row r="89" spans="1:7">
      <c r="A89" s="25">
        <v>46230</v>
      </c>
      <c r="B89" s="20" t="s">
        <v>31</v>
      </c>
      <c r="C89" s="20" t="s">
        <v>18</v>
      </c>
      <c r="D89" s="20" t="s">
        <v>43</v>
      </c>
      <c r="E89" s="21">
        <v>0.91666666666666663</v>
      </c>
      <c r="F89" s="20"/>
      <c r="G89" s="22"/>
    </row>
    <row r="90" spans="1:7">
      <c r="A90" s="35">
        <v>46231</v>
      </c>
      <c r="B90" s="36" t="s">
        <v>38</v>
      </c>
      <c r="C90" s="20" t="s">
        <v>18</v>
      </c>
      <c r="D90" s="20" t="s">
        <v>27</v>
      </c>
      <c r="E90" s="21">
        <v>0.35416666666666669</v>
      </c>
      <c r="F90" s="20"/>
      <c r="G90" s="37">
        <v>50</v>
      </c>
    </row>
    <row r="91" spans="1:7">
      <c r="A91" s="35">
        <v>46231</v>
      </c>
      <c r="B91" s="36" t="s">
        <v>38</v>
      </c>
      <c r="C91" s="20" t="s">
        <v>18</v>
      </c>
      <c r="D91" s="20" t="s">
        <v>84</v>
      </c>
      <c r="E91" s="21">
        <v>0.44444444444444442</v>
      </c>
      <c r="F91" s="20"/>
      <c r="G91" s="22"/>
    </row>
    <row r="92" spans="1:7">
      <c r="A92" s="35">
        <v>46231</v>
      </c>
      <c r="B92" s="36" t="s">
        <v>38</v>
      </c>
      <c r="C92" s="20" t="s">
        <v>18</v>
      </c>
      <c r="D92" s="20" t="s">
        <v>85</v>
      </c>
      <c r="E92" s="21">
        <v>0.45833333333333331</v>
      </c>
      <c r="F92" s="20"/>
      <c r="G92" s="22"/>
    </row>
    <row r="93" spans="1:7">
      <c r="A93" s="35">
        <v>46231</v>
      </c>
      <c r="B93" s="36" t="s">
        <v>38</v>
      </c>
      <c r="C93" s="20" t="s">
        <v>18</v>
      </c>
      <c r="D93" s="20" t="s">
        <v>86</v>
      </c>
      <c r="E93" s="21">
        <v>0.47916666666666669</v>
      </c>
      <c r="F93" s="20"/>
      <c r="G93" s="22"/>
    </row>
    <row r="94" spans="1:7">
      <c r="A94" s="35">
        <v>46231</v>
      </c>
      <c r="B94" s="36" t="s">
        <v>38</v>
      </c>
      <c r="C94" s="20" t="s">
        <v>18</v>
      </c>
      <c r="D94" s="20" t="s">
        <v>41</v>
      </c>
      <c r="E94" s="21">
        <v>0.5</v>
      </c>
      <c r="F94" s="20"/>
      <c r="G94" s="37">
        <v>170</v>
      </c>
    </row>
    <row r="95" spans="1:7">
      <c r="A95" s="35">
        <v>46231</v>
      </c>
      <c r="B95" s="36" t="s">
        <v>38</v>
      </c>
      <c r="C95" s="20" t="s">
        <v>18</v>
      </c>
      <c r="D95" s="20" t="s">
        <v>87</v>
      </c>
      <c r="E95" s="21">
        <v>0.58333333333333337</v>
      </c>
      <c r="F95" s="20"/>
      <c r="G95" s="44">
        <v>50</v>
      </c>
    </row>
    <row r="96" spans="1:7">
      <c r="A96" s="35">
        <v>46231</v>
      </c>
      <c r="B96" s="36" t="s">
        <v>38</v>
      </c>
      <c r="C96" s="20" t="s">
        <v>18</v>
      </c>
      <c r="D96" s="20" t="s">
        <v>43</v>
      </c>
      <c r="E96" s="21">
        <v>0.70833333333333337</v>
      </c>
      <c r="F96" s="20"/>
      <c r="G96" s="22"/>
    </row>
    <row r="97" spans="1:16">
      <c r="A97" s="35">
        <v>46231</v>
      </c>
      <c r="B97" s="36" t="s">
        <v>38</v>
      </c>
      <c r="C97" s="20" t="s">
        <v>18</v>
      </c>
      <c r="D97" s="20" t="s">
        <v>24</v>
      </c>
      <c r="E97" s="21">
        <v>0.79166666666666663</v>
      </c>
      <c r="F97" s="20"/>
      <c r="G97" s="37">
        <v>170</v>
      </c>
    </row>
    <row r="98" spans="1:16">
      <c r="A98" s="35">
        <v>46231</v>
      </c>
      <c r="B98" s="36" t="s">
        <v>38</v>
      </c>
      <c r="C98" s="20" t="s">
        <v>18</v>
      </c>
      <c r="D98" s="20" t="s">
        <v>43</v>
      </c>
      <c r="E98" s="21">
        <v>0.875</v>
      </c>
      <c r="F98" s="20"/>
      <c r="G98" s="22"/>
    </row>
    <row r="99" spans="1:16">
      <c r="A99" s="25">
        <v>46232</v>
      </c>
      <c r="B99" s="20" t="s">
        <v>44</v>
      </c>
      <c r="C99" s="20" t="s">
        <v>18</v>
      </c>
      <c r="D99" s="20" t="s">
        <v>27</v>
      </c>
      <c r="E99" s="21">
        <v>0.375</v>
      </c>
      <c r="F99" s="20"/>
      <c r="G99" s="22"/>
    </row>
    <row r="100" spans="1:16">
      <c r="A100" s="25">
        <v>46232</v>
      </c>
      <c r="B100" s="20" t="s">
        <v>44</v>
      </c>
      <c r="C100" s="20" t="s">
        <v>18</v>
      </c>
      <c r="D100" s="20" t="s">
        <v>88</v>
      </c>
      <c r="E100" s="21">
        <v>0.41666666666666669</v>
      </c>
      <c r="F100" s="20"/>
      <c r="G100" s="41">
        <v>250</v>
      </c>
    </row>
    <row r="101" spans="1:16">
      <c r="A101" s="25">
        <v>46232</v>
      </c>
      <c r="B101" s="20" t="s">
        <v>44</v>
      </c>
      <c r="C101" s="20" t="s">
        <v>18</v>
      </c>
      <c r="D101" s="20" t="s">
        <v>33</v>
      </c>
      <c r="E101" s="21">
        <v>0.52083333333333337</v>
      </c>
      <c r="F101" s="20"/>
      <c r="G101" s="22"/>
    </row>
    <row r="102" spans="1:16">
      <c r="A102" s="25">
        <v>46232</v>
      </c>
      <c r="B102" s="20" t="s">
        <v>44</v>
      </c>
      <c r="C102" s="20" t="s">
        <v>18</v>
      </c>
      <c r="D102" s="20" t="s">
        <v>89</v>
      </c>
      <c r="E102" s="21">
        <v>0.5625</v>
      </c>
      <c r="F102" s="20"/>
      <c r="G102" s="22"/>
    </row>
    <row r="103" spans="1:16">
      <c r="A103" s="25">
        <v>46232</v>
      </c>
      <c r="B103" s="20" t="s">
        <v>44</v>
      </c>
      <c r="C103" s="20" t="s">
        <v>18</v>
      </c>
      <c r="D103" s="20" t="s">
        <v>90</v>
      </c>
      <c r="E103" s="21">
        <v>0.58333333333333337</v>
      </c>
      <c r="F103" s="20"/>
      <c r="G103" s="22">
        <v>250</v>
      </c>
    </row>
    <row r="104" spans="1:16">
      <c r="A104" s="25">
        <v>46232</v>
      </c>
      <c r="B104" s="20" t="s">
        <v>44</v>
      </c>
      <c r="C104" s="20" t="s">
        <v>18</v>
      </c>
      <c r="D104" s="20" t="s">
        <v>91</v>
      </c>
      <c r="E104" s="21">
        <v>0.60416666666666663</v>
      </c>
      <c r="F104" s="20"/>
      <c r="G104" s="42">
        <v>300</v>
      </c>
    </row>
    <row r="105" spans="1:16">
      <c r="A105" s="25">
        <v>46232</v>
      </c>
      <c r="B105" s="20" t="s">
        <v>44</v>
      </c>
      <c r="C105" s="20" t="s">
        <v>18</v>
      </c>
      <c r="D105" s="20" t="s">
        <v>92</v>
      </c>
      <c r="E105" s="21">
        <v>0.64583333333333337</v>
      </c>
      <c r="F105" s="20"/>
      <c r="G105" s="22"/>
    </row>
    <row r="106" spans="1:16">
      <c r="A106" s="25">
        <v>46232</v>
      </c>
      <c r="B106" s="20" t="s">
        <v>44</v>
      </c>
      <c r="C106" s="20" t="s">
        <v>18</v>
      </c>
      <c r="D106" s="20" t="s">
        <v>93</v>
      </c>
      <c r="E106" s="21">
        <v>0.70833333333333337</v>
      </c>
      <c r="F106" s="20"/>
      <c r="G106" s="22"/>
    </row>
    <row r="107" spans="1:16">
      <c r="A107" s="25">
        <v>46232</v>
      </c>
      <c r="B107" s="20" t="s">
        <v>44</v>
      </c>
      <c r="C107" s="20" t="s">
        <v>18</v>
      </c>
      <c r="D107" s="20" t="s">
        <v>94</v>
      </c>
      <c r="E107" s="21">
        <v>0.8125</v>
      </c>
      <c r="F107" s="20"/>
      <c r="G107" s="22"/>
    </row>
    <row r="108" spans="1:16">
      <c r="A108" s="25">
        <v>46232</v>
      </c>
      <c r="B108" s="20" t="s">
        <v>44</v>
      </c>
      <c r="C108" s="20" t="s">
        <v>18</v>
      </c>
      <c r="D108" s="20" t="s">
        <v>95</v>
      </c>
      <c r="E108" s="21">
        <v>0.83333333333333337</v>
      </c>
      <c r="F108" s="20"/>
      <c r="G108" s="37">
        <v>170</v>
      </c>
    </row>
    <row r="109" spans="1:16">
      <c r="A109" s="25">
        <v>46232</v>
      </c>
      <c r="B109" s="20" t="s">
        <v>44</v>
      </c>
      <c r="C109" s="20" t="s">
        <v>18</v>
      </c>
      <c r="D109" s="20" t="s">
        <v>96</v>
      </c>
      <c r="E109" s="21">
        <v>0.88541666666666663</v>
      </c>
      <c r="F109" s="20"/>
      <c r="G109" s="22"/>
    </row>
    <row r="110" spans="1:16">
      <c r="A110" s="25">
        <v>46232</v>
      </c>
      <c r="B110" s="20" t="s">
        <v>44</v>
      </c>
      <c r="C110" s="20" t="s">
        <v>18</v>
      </c>
      <c r="D110" s="20" t="s">
        <v>10</v>
      </c>
      <c r="E110" s="21">
        <v>0.98958333333333337</v>
      </c>
      <c r="F110" s="20"/>
      <c r="G110" s="22"/>
    </row>
    <row r="111" spans="1:16">
      <c r="A111" s="25">
        <v>46232</v>
      </c>
      <c r="B111" s="20" t="s">
        <v>44</v>
      </c>
      <c r="C111" s="20" t="s">
        <v>18</v>
      </c>
      <c r="D111" s="20" t="s">
        <v>97</v>
      </c>
      <c r="E111" s="21">
        <v>0.83333333333333337</v>
      </c>
      <c r="F111" s="20"/>
      <c r="G111" s="42">
        <v>100</v>
      </c>
    </row>
    <row r="112" spans="1:16">
      <c r="A112" s="20"/>
      <c r="B112" s="20"/>
      <c r="C112" s="20"/>
      <c r="D112" s="20"/>
      <c r="E112" s="21"/>
      <c r="F112" s="20"/>
      <c r="G112" s="22">
        <f>SUM(G2:G111)</f>
        <v>12991.84</v>
      </c>
      <c r="I112" s="1">
        <f>SUM(I2:I111)</f>
        <v>640</v>
      </c>
      <c r="N112">
        <v>100</v>
      </c>
      <c r="O112">
        <v>200</v>
      </c>
      <c r="P112">
        <v>200</v>
      </c>
    </row>
    <row r="137" spans="9:10">
      <c r="I137" s="1" t="s">
        <v>98</v>
      </c>
      <c r="J137">
        <v>29.07</v>
      </c>
    </row>
    <row r="138" spans="9:10">
      <c r="I138" s="1" t="s">
        <v>97</v>
      </c>
      <c r="J138">
        <v>23.59</v>
      </c>
    </row>
    <row r="141" spans="9:10">
      <c r="I141" s="1" t="s">
        <v>99</v>
      </c>
      <c r="J141">
        <v>6.2</v>
      </c>
    </row>
    <row r="142" spans="9:10">
      <c r="I142" s="1" t="s">
        <v>100</v>
      </c>
    </row>
  </sheetData>
  <pageMargins left="0.511811024" right="0.511811024" top="0.78740157499999996" bottom="0.78740157499999996" header="0.31496062000000002" footer="0.31496062000000002"/>
  <pageSetup paperSize="9" scale="43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8EB9-9E43-4A97-91D4-0C8BE81E496B}">
  <sheetPr>
    <pageSetUpPr fitToPage="1"/>
  </sheetPr>
  <dimension ref="A1:O139"/>
  <sheetViews>
    <sheetView topLeftCell="B51" workbookViewId="0">
      <selection activeCell="G24" sqref="G24"/>
    </sheetView>
  </sheetViews>
  <sheetFormatPr defaultRowHeight="14.4"/>
  <cols>
    <col min="1" max="1" width="8" customWidth="1"/>
    <col min="2" max="2" width="13.6640625" customWidth="1"/>
    <col min="3" max="3" width="17.109375" customWidth="1"/>
    <col min="4" max="4" width="53.5546875" customWidth="1"/>
    <col min="5" max="5" width="8.44140625" style="2" customWidth="1"/>
    <col min="6" max="6" width="37" customWidth="1"/>
    <col min="7" max="7" width="15" style="18" customWidth="1"/>
    <col min="8" max="8" width="20.5546875" style="13" customWidth="1"/>
    <col min="9" max="9" width="9.109375" style="1"/>
    <col min="10" max="10" width="17.88671875" customWidth="1"/>
    <col min="11" max="11" width="24.88671875" bestFit="1" customWidth="1"/>
  </cols>
  <sheetData>
    <row r="1" spans="1:11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2" t="s">
        <v>6</v>
      </c>
      <c r="I1" s="1" t="s">
        <v>7</v>
      </c>
      <c r="J1" t="s">
        <v>8</v>
      </c>
    </row>
    <row r="2" spans="1:11">
      <c r="A2" s="23">
        <v>46221</v>
      </c>
      <c r="B2" s="24" t="s">
        <v>9</v>
      </c>
      <c r="C2" s="20" t="s">
        <v>10</v>
      </c>
      <c r="D2" s="20" t="s">
        <v>11</v>
      </c>
      <c r="E2" s="21">
        <v>0.11458333333333333</v>
      </c>
      <c r="F2" s="20" t="s">
        <v>12</v>
      </c>
      <c r="G2" s="38">
        <v>60</v>
      </c>
      <c r="H2" s="13">
        <f>G109-G2</f>
        <v>11718.95</v>
      </c>
      <c r="K2" s="1"/>
    </row>
    <row r="3" spans="1:11">
      <c r="A3" s="23">
        <v>46221</v>
      </c>
      <c r="B3" s="24" t="s">
        <v>9</v>
      </c>
      <c r="C3" s="20" t="s">
        <v>10</v>
      </c>
      <c r="D3" s="20" t="s">
        <v>13</v>
      </c>
      <c r="E3" s="21">
        <v>0.20833333333333334</v>
      </c>
      <c r="F3" s="20" t="s">
        <v>14</v>
      </c>
      <c r="G3" s="22"/>
    </row>
    <row r="4" spans="1:11">
      <c r="A4" s="23">
        <v>46221</v>
      </c>
      <c r="B4" s="24" t="s">
        <v>9</v>
      </c>
      <c r="C4" s="20" t="s">
        <v>15</v>
      </c>
      <c r="D4" s="20" t="s">
        <v>13</v>
      </c>
      <c r="E4" s="21">
        <v>0.31597222222222221</v>
      </c>
      <c r="F4" s="20" t="s">
        <v>16</v>
      </c>
      <c r="G4" s="22"/>
      <c r="K4" s="1"/>
    </row>
    <row r="5" spans="1:11">
      <c r="A5" s="23">
        <v>46221</v>
      </c>
      <c r="B5" s="24" t="s">
        <v>9</v>
      </c>
      <c r="C5" s="20" t="s">
        <v>15</v>
      </c>
      <c r="D5" s="20" t="s">
        <v>13</v>
      </c>
      <c r="E5" s="21">
        <v>0.33333333333333331</v>
      </c>
      <c r="F5" s="20" t="s">
        <v>17</v>
      </c>
      <c r="G5" s="37">
        <v>150</v>
      </c>
      <c r="H5" s="13">
        <f>H2-G5</f>
        <v>11568.95</v>
      </c>
      <c r="K5" s="1"/>
    </row>
    <row r="6" spans="1:11">
      <c r="A6" s="23">
        <v>46221</v>
      </c>
      <c r="B6" s="24" t="s">
        <v>9</v>
      </c>
      <c r="C6" s="20" t="s">
        <v>15</v>
      </c>
      <c r="D6" s="20" t="s">
        <v>13</v>
      </c>
      <c r="E6" s="21">
        <v>0.37152777777777779</v>
      </c>
      <c r="F6" s="20" t="s">
        <v>14</v>
      </c>
      <c r="G6" s="22"/>
    </row>
    <row r="7" spans="1:11">
      <c r="A7" s="23">
        <v>46221</v>
      </c>
      <c r="B7" s="24" t="s">
        <v>9</v>
      </c>
      <c r="C7" s="20" t="s">
        <v>18</v>
      </c>
      <c r="D7" s="20" t="s">
        <v>13</v>
      </c>
      <c r="E7" s="21">
        <v>0.4548611111111111</v>
      </c>
      <c r="F7" s="20"/>
      <c r="G7" s="22"/>
    </row>
    <row r="8" spans="1:11">
      <c r="A8" s="23">
        <v>46221</v>
      </c>
      <c r="B8" s="24" t="s">
        <v>9</v>
      </c>
      <c r="C8" s="20" t="s">
        <v>18</v>
      </c>
      <c r="D8" s="20" t="s">
        <v>13</v>
      </c>
      <c r="E8" s="21">
        <v>0.5</v>
      </c>
      <c r="F8" s="20" t="s">
        <v>19</v>
      </c>
      <c r="G8" s="38">
        <v>2115.9499999999998</v>
      </c>
      <c r="H8" s="13">
        <f>H5-G8</f>
        <v>9453</v>
      </c>
    </row>
    <row r="9" spans="1:11">
      <c r="A9" s="23">
        <v>46221</v>
      </c>
      <c r="B9" s="24" t="s">
        <v>9</v>
      </c>
      <c r="C9" s="20" t="s">
        <v>18</v>
      </c>
      <c r="D9" s="20" t="s">
        <v>20</v>
      </c>
      <c r="E9" s="21">
        <v>0.54166666666666663</v>
      </c>
      <c r="F9" s="20"/>
      <c r="G9" s="37">
        <v>200</v>
      </c>
      <c r="H9" s="13">
        <f>H8-G9</f>
        <v>9253</v>
      </c>
    </row>
    <row r="10" spans="1:11">
      <c r="A10" s="23">
        <v>46221</v>
      </c>
      <c r="B10" s="24" t="s">
        <v>9</v>
      </c>
      <c r="C10" s="20" t="s">
        <v>18</v>
      </c>
      <c r="D10" s="20" t="s">
        <v>21</v>
      </c>
      <c r="E10" s="21">
        <v>0.58333333333333337</v>
      </c>
      <c r="F10" s="20"/>
      <c r="G10" s="39">
        <v>560</v>
      </c>
      <c r="H10" s="15">
        <f>H9-G10</f>
        <v>8693</v>
      </c>
      <c r="K10" t="s">
        <v>22</v>
      </c>
    </row>
    <row r="11" spans="1:11">
      <c r="A11" s="23">
        <v>46221</v>
      </c>
      <c r="B11" s="24" t="s">
        <v>9</v>
      </c>
      <c r="C11" s="20" t="s">
        <v>18</v>
      </c>
      <c r="D11" s="20" t="s">
        <v>23</v>
      </c>
      <c r="E11" s="21">
        <v>0.79166666666666663</v>
      </c>
      <c r="F11" s="21"/>
      <c r="G11" s="22"/>
      <c r="H11" s="15"/>
    </row>
    <row r="12" spans="1:11">
      <c r="A12" s="23">
        <v>46221</v>
      </c>
      <c r="B12" s="24" t="s">
        <v>9</v>
      </c>
      <c r="C12" s="20" t="s">
        <v>18</v>
      </c>
      <c r="D12" s="20" t="s">
        <v>24</v>
      </c>
      <c r="E12" s="21">
        <v>0.8125</v>
      </c>
      <c r="F12" s="21"/>
      <c r="G12" s="37">
        <v>150</v>
      </c>
      <c r="H12" s="15">
        <f>H10-G12</f>
        <v>8543</v>
      </c>
    </row>
    <row r="13" spans="1:11">
      <c r="A13" s="23">
        <v>46221</v>
      </c>
      <c r="B13" s="24" t="s">
        <v>9</v>
      </c>
      <c r="C13" s="20" t="s">
        <v>18</v>
      </c>
      <c r="D13" s="20" t="s">
        <v>25</v>
      </c>
      <c r="E13" s="21">
        <v>0.875</v>
      </c>
      <c r="F13" s="21"/>
      <c r="G13" s="37">
        <v>200</v>
      </c>
      <c r="H13" s="15">
        <f>H12-G13</f>
        <v>8343</v>
      </c>
    </row>
    <row r="14" spans="1:11">
      <c r="A14" s="23">
        <v>46221</v>
      </c>
      <c r="B14" s="24" t="s">
        <v>9</v>
      </c>
      <c r="C14" s="20" t="s">
        <v>18</v>
      </c>
      <c r="D14" s="20" t="s">
        <v>21</v>
      </c>
      <c r="E14" s="21">
        <v>0.89583333333333337</v>
      </c>
      <c r="F14" s="21"/>
      <c r="G14" s="22"/>
      <c r="H14" s="15"/>
    </row>
    <row r="15" spans="1:11">
      <c r="A15" s="25">
        <v>46222</v>
      </c>
      <c r="B15" s="20" t="s">
        <v>26</v>
      </c>
      <c r="C15" s="20" t="s">
        <v>18</v>
      </c>
      <c r="D15" s="20" t="s">
        <v>27</v>
      </c>
      <c r="E15" s="21">
        <v>0.35416666666666669</v>
      </c>
      <c r="F15" s="20"/>
      <c r="G15" s="22"/>
    </row>
    <row r="16" spans="1:11">
      <c r="A16" s="25">
        <v>46222</v>
      </c>
      <c r="B16" s="20" t="s">
        <v>26</v>
      </c>
      <c r="C16" s="20" t="s">
        <v>18</v>
      </c>
      <c r="D16" s="20" t="s">
        <v>28</v>
      </c>
      <c r="E16" s="21">
        <v>0.39583333333333331</v>
      </c>
      <c r="F16" s="20"/>
      <c r="G16" s="22"/>
    </row>
    <row r="17" spans="1:12">
      <c r="A17" s="25">
        <v>46222</v>
      </c>
      <c r="B17" s="20" t="s">
        <v>26</v>
      </c>
      <c r="C17" s="20" t="s">
        <v>18</v>
      </c>
      <c r="D17" s="20" t="s">
        <v>20</v>
      </c>
      <c r="E17" s="21">
        <v>0.52083333333333337</v>
      </c>
      <c r="F17" s="20"/>
      <c r="G17" s="22"/>
    </row>
    <row r="18" spans="1:12">
      <c r="A18" s="25">
        <v>46222</v>
      </c>
      <c r="B18" s="20" t="s">
        <v>26</v>
      </c>
      <c r="C18" s="20" t="s">
        <v>18</v>
      </c>
      <c r="D18" s="20" t="s">
        <v>29</v>
      </c>
      <c r="E18" s="21">
        <v>0.72916666666666663</v>
      </c>
      <c r="F18" s="20"/>
      <c r="G18" s="37">
        <v>100</v>
      </c>
      <c r="H18" s="13">
        <f>H13-G18</f>
        <v>8243</v>
      </c>
    </row>
    <row r="19" spans="1:12">
      <c r="A19" s="25">
        <v>46222</v>
      </c>
      <c r="B19" s="20" t="s">
        <v>26</v>
      </c>
      <c r="C19" s="20" t="s">
        <v>18</v>
      </c>
      <c r="D19" s="20" t="s">
        <v>30</v>
      </c>
      <c r="E19" s="21">
        <v>0.8125</v>
      </c>
      <c r="F19" s="20"/>
      <c r="G19" s="37">
        <v>200</v>
      </c>
      <c r="H19" s="13">
        <f>H18-G19</f>
        <v>8043</v>
      </c>
    </row>
    <row r="20" spans="1:12">
      <c r="A20" s="25">
        <v>46222</v>
      </c>
      <c r="B20" s="20" t="s">
        <v>26</v>
      </c>
      <c r="C20" s="20" t="s">
        <v>18</v>
      </c>
      <c r="D20" s="20" t="s">
        <v>21</v>
      </c>
      <c r="E20" s="21">
        <v>0.875</v>
      </c>
      <c r="F20" s="20"/>
      <c r="G20" s="22"/>
    </row>
    <row r="21" spans="1:12" ht="15.75" customHeight="1">
      <c r="A21" s="23">
        <v>46223</v>
      </c>
      <c r="B21" s="26" t="s">
        <v>31</v>
      </c>
      <c r="C21" s="20" t="s">
        <v>18</v>
      </c>
      <c r="D21" s="20" t="s">
        <v>27</v>
      </c>
      <c r="E21" s="21">
        <v>0.35416666666666669</v>
      </c>
      <c r="F21" s="20"/>
      <c r="G21" s="22"/>
    </row>
    <row r="22" spans="1:12">
      <c r="A22" s="23">
        <v>46223</v>
      </c>
      <c r="B22" s="26" t="s">
        <v>31</v>
      </c>
      <c r="C22" s="20" t="s">
        <v>18</v>
      </c>
      <c r="D22" s="20" t="s">
        <v>32</v>
      </c>
      <c r="E22" s="21">
        <v>0.41666666666666669</v>
      </c>
      <c r="F22" s="20"/>
      <c r="G22" s="38">
        <v>300</v>
      </c>
      <c r="H22" s="13">
        <f>H19-G22</f>
        <v>7743</v>
      </c>
    </row>
    <row r="23" spans="1:12">
      <c r="A23" s="23">
        <v>46223</v>
      </c>
      <c r="B23" s="26" t="s">
        <v>31</v>
      </c>
      <c r="C23" s="20" t="s">
        <v>33</v>
      </c>
      <c r="D23" s="20" t="s">
        <v>33</v>
      </c>
      <c r="E23" s="21">
        <v>0.5</v>
      </c>
      <c r="F23" s="20"/>
      <c r="G23" s="37">
        <v>180</v>
      </c>
      <c r="H23" s="13">
        <f>H22-G23</f>
        <v>7563</v>
      </c>
    </row>
    <row r="24" spans="1:12">
      <c r="A24" s="23">
        <v>46223</v>
      </c>
      <c r="B24" s="26" t="s">
        <v>31</v>
      </c>
      <c r="C24" s="20" t="s">
        <v>34</v>
      </c>
      <c r="D24" s="20" t="s">
        <v>35</v>
      </c>
      <c r="E24" s="21">
        <v>0.70833333333333337</v>
      </c>
      <c r="F24" s="20"/>
      <c r="G24" s="48">
        <v>640</v>
      </c>
      <c r="H24" s="13">
        <f>H23-G24</f>
        <v>6923</v>
      </c>
      <c r="J24" s="47"/>
      <c r="K24" s="47" t="s">
        <v>36</v>
      </c>
      <c r="L24" s="47"/>
    </row>
    <row r="25" spans="1:12">
      <c r="A25" s="23">
        <v>46223</v>
      </c>
      <c r="B25" s="26" t="s">
        <v>31</v>
      </c>
      <c r="C25" s="20" t="s">
        <v>34</v>
      </c>
      <c r="D25" s="20" t="s">
        <v>37</v>
      </c>
      <c r="E25" s="21">
        <v>0.75</v>
      </c>
      <c r="F25" s="20"/>
      <c r="G25" s="22"/>
    </row>
    <row r="26" spans="1:12">
      <c r="A26" s="23">
        <v>46223</v>
      </c>
      <c r="B26" s="26" t="s">
        <v>31</v>
      </c>
      <c r="C26" s="20" t="s">
        <v>34</v>
      </c>
      <c r="D26" s="20" t="s">
        <v>24</v>
      </c>
      <c r="E26" s="21">
        <v>0.8125</v>
      </c>
      <c r="F26" s="20"/>
      <c r="G26" s="37">
        <v>150</v>
      </c>
      <c r="H26" s="13">
        <f>H24-G26</f>
        <v>6773</v>
      </c>
    </row>
    <row r="27" spans="1:12">
      <c r="A27" s="23">
        <v>46223</v>
      </c>
      <c r="B27" s="26" t="s">
        <v>31</v>
      </c>
      <c r="C27" s="20" t="s">
        <v>34</v>
      </c>
      <c r="D27" s="20" t="s">
        <v>25</v>
      </c>
      <c r="E27" s="21">
        <v>0.875</v>
      </c>
      <c r="F27" s="20"/>
      <c r="G27" s="37">
        <v>150</v>
      </c>
      <c r="H27" s="13">
        <f>H26-G27</f>
        <v>6623</v>
      </c>
    </row>
    <row r="28" spans="1:12">
      <c r="A28" s="25">
        <v>46224</v>
      </c>
      <c r="B28" s="20" t="s">
        <v>38</v>
      </c>
      <c r="C28" s="20" t="s">
        <v>34</v>
      </c>
      <c r="D28" s="20" t="s">
        <v>39</v>
      </c>
      <c r="E28" s="21">
        <v>0.35416666666666669</v>
      </c>
      <c r="F28" s="20"/>
      <c r="G28" s="22"/>
    </row>
    <row r="29" spans="1:12">
      <c r="A29" s="25">
        <v>46224</v>
      </c>
      <c r="B29" s="20" t="s">
        <v>38</v>
      </c>
      <c r="C29" s="20" t="s">
        <v>34</v>
      </c>
      <c r="D29" s="20" t="s">
        <v>40</v>
      </c>
      <c r="E29" s="21">
        <v>0.39583333333333331</v>
      </c>
      <c r="F29" s="20"/>
      <c r="G29" s="41">
        <v>200</v>
      </c>
      <c r="H29" s="13">
        <f>H26-G29</f>
        <v>6573</v>
      </c>
    </row>
    <row r="30" spans="1:12">
      <c r="A30" s="25">
        <v>46224</v>
      </c>
      <c r="B30" s="20" t="s">
        <v>38</v>
      </c>
      <c r="C30" s="20" t="s">
        <v>34</v>
      </c>
      <c r="D30" s="20" t="s">
        <v>41</v>
      </c>
      <c r="E30" s="21">
        <v>0.5</v>
      </c>
      <c r="F30" s="20"/>
      <c r="G30" s="37">
        <v>150</v>
      </c>
      <c r="H30" s="13">
        <f>H29-G30</f>
        <v>6423</v>
      </c>
    </row>
    <row r="31" spans="1:12">
      <c r="A31" s="25">
        <v>46224</v>
      </c>
      <c r="B31" s="20" t="s">
        <v>38</v>
      </c>
      <c r="C31" s="20" t="s">
        <v>34</v>
      </c>
      <c r="D31" s="20" t="s">
        <v>42</v>
      </c>
      <c r="E31" s="21">
        <v>0.625</v>
      </c>
      <c r="F31" s="20"/>
      <c r="G31" s="22"/>
    </row>
    <row r="32" spans="1:12">
      <c r="A32" s="25">
        <v>46224</v>
      </c>
      <c r="B32" s="20" t="s">
        <v>38</v>
      </c>
      <c r="C32" s="20" t="s">
        <v>34</v>
      </c>
      <c r="D32" s="20" t="s">
        <v>43</v>
      </c>
      <c r="E32" s="21">
        <v>0.70833333333333337</v>
      </c>
      <c r="F32" s="20"/>
      <c r="G32" s="22"/>
    </row>
    <row r="33" spans="1:13">
      <c r="A33" s="25">
        <v>46224</v>
      </c>
      <c r="B33" s="20" t="s">
        <v>38</v>
      </c>
      <c r="C33" s="20" t="s">
        <v>34</v>
      </c>
      <c r="D33" s="20" t="s">
        <v>24</v>
      </c>
      <c r="E33" s="21">
        <v>0.83333333333333337</v>
      </c>
      <c r="F33" s="20"/>
      <c r="G33" s="37">
        <v>150</v>
      </c>
      <c r="H33" s="13">
        <f>H30-G33</f>
        <v>6273</v>
      </c>
      <c r="M33" s="3"/>
    </row>
    <row r="34" spans="1:13">
      <c r="A34" s="25">
        <v>46224</v>
      </c>
      <c r="B34" s="20" t="s">
        <v>38</v>
      </c>
      <c r="C34" s="20" t="s">
        <v>34</v>
      </c>
      <c r="D34" s="20" t="s">
        <v>43</v>
      </c>
      <c r="E34" s="21">
        <v>0.875</v>
      </c>
      <c r="F34" s="20"/>
      <c r="G34" s="22"/>
    </row>
    <row r="35" spans="1:13">
      <c r="A35" s="23">
        <v>46225</v>
      </c>
      <c r="B35" s="24" t="s">
        <v>44</v>
      </c>
      <c r="C35" s="20" t="s">
        <v>34</v>
      </c>
      <c r="D35" s="20" t="s">
        <v>39</v>
      </c>
      <c r="E35" s="21">
        <v>0.375</v>
      </c>
      <c r="F35" s="27"/>
      <c r="G35" s="22"/>
      <c r="H35" s="15"/>
    </row>
    <row r="36" spans="1:13">
      <c r="A36" s="23">
        <v>46225</v>
      </c>
      <c r="B36" s="24" t="s">
        <v>44</v>
      </c>
      <c r="C36" s="20" t="s">
        <v>34</v>
      </c>
      <c r="D36" s="20" t="s">
        <v>45</v>
      </c>
      <c r="E36" s="21">
        <v>0.41666666666666669</v>
      </c>
      <c r="F36" s="27" t="s">
        <v>46</v>
      </c>
      <c r="G36" s="42">
        <v>200</v>
      </c>
      <c r="H36" s="15">
        <f>H33-G36</f>
        <v>6073</v>
      </c>
    </row>
    <row r="37" spans="1:13">
      <c r="A37" s="23">
        <v>46225</v>
      </c>
      <c r="B37" s="24" t="s">
        <v>44</v>
      </c>
      <c r="C37" s="20" t="s">
        <v>34</v>
      </c>
      <c r="D37" s="20" t="s">
        <v>33</v>
      </c>
      <c r="E37" s="21">
        <v>0.5</v>
      </c>
      <c r="F37" s="27"/>
      <c r="G37" s="37">
        <v>150</v>
      </c>
      <c r="H37" s="15">
        <f>H36-G37</f>
        <v>5923</v>
      </c>
    </row>
    <row r="38" spans="1:13">
      <c r="A38" s="23">
        <v>46225</v>
      </c>
      <c r="B38" s="24" t="s">
        <v>44</v>
      </c>
      <c r="C38" s="20" t="s">
        <v>34</v>
      </c>
      <c r="D38" s="20" t="s">
        <v>43</v>
      </c>
      <c r="E38" s="21">
        <v>0.66666666666666663</v>
      </c>
      <c r="F38" s="20"/>
      <c r="G38" s="22"/>
      <c r="I38" s="4"/>
      <c r="M38" s="3"/>
    </row>
    <row r="39" spans="1:13">
      <c r="A39" s="23">
        <v>46225</v>
      </c>
      <c r="B39" s="24" t="s">
        <v>44</v>
      </c>
      <c r="C39" s="20" t="s">
        <v>34</v>
      </c>
      <c r="D39" s="20" t="s">
        <v>47</v>
      </c>
      <c r="E39" s="21">
        <v>0.75</v>
      </c>
      <c r="F39" s="27"/>
      <c r="G39" s="22"/>
      <c r="I39" s="4"/>
    </row>
    <row r="40" spans="1:13">
      <c r="A40" s="23">
        <v>46225</v>
      </c>
      <c r="B40" s="24" t="s">
        <v>44</v>
      </c>
      <c r="C40" s="20" t="s">
        <v>34</v>
      </c>
      <c r="D40" s="20" t="s">
        <v>24</v>
      </c>
      <c r="E40" s="21">
        <v>0.83333333333333337</v>
      </c>
      <c r="F40" s="27"/>
      <c r="G40" s="37">
        <v>150</v>
      </c>
      <c r="H40" s="16">
        <f>H37-G40</f>
        <v>5773</v>
      </c>
      <c r="I40" s="4"/>
    </row>
    <row r="41" spans="1:13">
      <c r="A41" s="23">
        <v>46225</v>
      </c>
      <c r="B41" s="24" t="s">
        <v>44</v>
      </c>
      <c r="C41" s="20" t="s">
        <v>34</v>
      </c>
      <c r="D41" s="20" t="s">
        <v>43</v>
      </c>
      <c r="E41" s="21">
        <v>0.89583333333333337</v>
      </c>
      <c r="F41" s="27"/>
      <c r="G41" s="22"/>
      <c r="I41" s="4"/>
    </row>
    <row r="42" spans="1:13">
      <c r="A42" s="28">
        <v>46226</v>
      </c>
      <c r="B42" s="27" t="s">
        <v>48</v>
      </c>
      <c r="C42" s="20" t="s">
        <v>34</v>
      </c>
      <c r="D42" s="20" t="s">
        <v>27</v>
      </c>
      <c r="E42" s="21">
        <v>0.33333333333333331</v>
      </c>
      <c r="F42" s="20"/>
      <c r="G42" s="22"/>
      <c r="H42" s="15"/>
      <c r="I42" s="4"/>
    </row>
    <row r="43" spans="1:13">
      <c r="A43" s="28">
        <v>46226</v>
      </c>
      <c r="B43" s="27" t="s">
        <v>48</v>
      </c>
      <c r="C43" s="20" t="s">
        <v>34</v>
      </c>
      <c r="D43" s="20" t="s">
        <v>49</v>
      </c>
      <c r="E43" s="21">
        <v>0.41666666666666669</v>
      </c>
      <c r="F43" s="20"/>
      <c r="G43" s="22"/>
      <c r="H43" s="15"/>
      <c r="I43" s="4"/>
    </row>
    <row r="44" spans="1:13">
      <c r="A44" s="28">
        <v>46226</v>
      </c>
      <c r="B44" s="27" t="s">
        <v>48</v>
      </c>
      <c r="C44" s="20" t="s">
        <v>34</v>
      </c>
      <c r="D44" s="20" t="s">
        <v>50</v>
      </c>
      <c r="E44" s="21">
        <v>0.5</v>
      </c>
      <c r="F44" s="20"/>
      <c r="G44" s="37">
        <v>150</v>
      </c>
      <c r="H44" s="15">
        <f>H40-G44</f>
        <v>5623</v>
      </c>
      <c r="I44" s="4"/>
      <c r="J44" s="6" t="s">
        <v>51</v>
      </c>
      <c r="K44" s="10">
        <f>G5+G9+G12+G15+G17+G18+G19+G23+G26+G30+G33+G40+G44+G46+G50+G51+G52+G55+G59+G63+G68+G71+G83+G86+G88+G92+G95+G105</f>
        <v>3930</v>
      </c>
    </row>
    <row r="45" spans="1:13">
      <c r="A45" s="28">
        <v>46226</v>
      </c>
      <c r="B45" s="27" t="s">
        <v>48</v>
      </c>
      <c r="C45" s="20" t="s">
        <v>18</v>
      </c>
      <c r="D45" s="20" t="s">
        <v>101</v>
      </c>
      <c r="E45" s="21">
        <v>0.70833333333333337</v>
      </c>
      <c r="F45" s="20"/>
      <c r="G45" s="39">
        <v>1768</v>
      </c>
      <c r="H45" s="13">
        <f>H44-G45</f>
        <v>3855</v>
      </c>
      <c r="I45" s="4"/>
      <c r="J45" s="7" t="s">
        <v>56</v>
      </c>
      <c r="K45" s="11">
        <f>G10+G24+G45</f>
        <v>2968</v>
      </c>
    </row>
    <row r="46" spans="1:13">
      <c r="A46" s="28">
        <v>46226</v>
      </c>
      <c r="B46" s="27" t="s">
        <v>48</v>
      </c>
      <c r="C46" s="20" t="s">
        <v>18</v>
      </c>
      <c r="D46" s="20" t="s">
        <v>24</v>
      </c>
      <c r="E46" s="21">
        <v>0.79166666666666663</v>
      </c>
      <c r="F46" s="20"/>
      <c r="G46" s="37">
        <v>200</v>
      </c>
      <c r="H46" s="13">
        <f>H45-G46</f>
        <v>3655</v>
      </c>
      <c r="I46" s="4"/>
      <c r="J46" s="8" t="s">
        <v>57</v>
      </c>
      <c r="K46" s="12">
        <f>G93+G73+G74+G62+G61</f>
        <v>325</v>
      </c>
    </row>
    <row r="47" spans="1:13">
      <c r="A47" s="28">
        <v>46226</v>
      </c>
      <c r="B47" s="27" t="s">
        <v>48</v>
      </c>
      <c r="C47" s="20" t="s">
        <v>18</v>
      </c>
      <c r="D47" s="20" t="s">
        <v>25</v>
      </c>
      <c r="E47" s="21">
        <v>0.875</v>
      </c>
      <c r="F47" s="20"/>
      <c r="G47" s="37">
        <v>200</v>
      </c>
      <c r="H47" s="13">
        <f>H46-G47</f>
        <v>3455</v>
      </c>
      <c r="I47" s="4"/>
      <c r="J47" s="8"/>
      <c r="K47" s="12"/>
    </row>
    <row r="48" spans="1:13">
      <c r="A48" s="28">
        <v>46226</v>
      </c>
      <c r="B48" s="27" t="s">
        <v>48</v>
      </c>
      <c r="C48" s="20" t="s">
        <v>18</v>
      </c>
      <c r="D48" s="20" t="s">
        <v>43</v>
      </c>
      <c r="E48" s="21">
        <v>0.875</v>
      </c>
      <c r="F48" s="20"/>
      <c r="G48" s="22"/>
      <c r="H48" s="16"/>
      <c r="I48" s="4"/>
      <c r="J48" s="5" t="s">
        <v>54</v>
      </c>
      <c r="K48" s="9">
        <f>G2+G8+G22+G36+G58+G101+G108</f>
        <v>3105.95</v>
      </c>
    </row>
    <row r="49" spans="1:11">
      <c r="A49" s="29">
        <v>46227</v>
      </c>
      <c r="B49" s="30" t="s">
        <v>58</v>
      </c>
      <c r="C49" s="20" t="s">
        <v>18</v>
      </c>
      <c r="D49" s="20" t="s">
        <v>27</v>
      </c>
      <c r="E49" s="21">
        <v>0.35416666666666669</v>
      </c>
      <c r="F49" s="20"/>
      <c r="G49" s="22"/>
      <c r="J49" s="40" t="s">
        <v>59</v>
      </c>
      <c r="K49" s="45">
        <f>G29+G64+G79+G98</f>
        <v>750</v>
      </c>
    </row>
    <row r="50" spans="1:11">
      <c r="A50" s="29">
        <v>46227</v>
      </c>
      <c r="B50" s="30" t="s">
        <v>58</v>
      </c>
      <c r="C50" s="20" t="s">
        <v>18</v>
      </c>
      <c r="D50" s="20" t="s">
        <v>102</v>
      </c>
      <c r="E50" s="21">
        <v>0.39583333333333331</v>
      </c>
      <c r="F50" s="20"/>
      <c r="G50" s="43">
        <v>50</v>
      </c>
      <c r="H50" s="13">
        <f>H47-G50</f>
        <v>3405</v>
      </c>
    </row>
    <row r="51" spans="1:11">
      <c r="A51" s="29">
        <v>46227</v>
      </c>
      <c r="B51" s="30" t="s">
        <v>58</v>
      </c>
      <c r="C51" s="20" t="s">
        <v>18</v>
      </c>
      <c r="D51" s="20" t="s">
        <v>33</v>
      </c>
      <c r="E51" s="21">
        <v>0.5</v>
      </c>
      <c r="F51" s="20"/>
      <c r="G51" s="37">
        <v>200</v>
      </c>
      <c r="H51" s="13">
        <f>H50-G51</f>
        <v>3205</v>
      </c>
    </row>
    <row r="52" spans="1:11">
      <c r="A52" s="29">
        <v>46227</v>
      </c>
      <c r="B52" s="30" t="s">
        <v>58</v>
      </c>
      <c r="C52" s="20" t="s">
        <v>18</v>
      </c>
      <c r="D52" s="20" t="s">
        <v>103</v>
      </c>
      <c r="E52" s="21">
        <v>0.5625</v>
      </c>
      <c r="F52" s="20"/>
      <c r="G52" s="43">
        <v>50</v>
      </c>
      <c r="H52" s="13">
        <f>H51-G52</f>
        <v>3155</v>
      </c>
    </row>
    <row r="53" spans="1:11">
      <c r="A53" s="29">
        <v>46227</v>
      </c>
      <c r="B53" s="30" t="s">
        <v>58</v>
      </c>
      <c r="C53" s="20" t="s">
        <v>18</v>
      </c>
      <c r="D53" s="20" t="s">
        <v>43</v>
      </c>
      <c r="E53" s="21">
        <v>0.625</v>
      </c>
      <c r="F53" s="20"/>
      <c r="G53" s="22"/>
    </row>
    <row r="54" spans="1:11">
      <c r="A54" s="29">
        <v>46227</v>
      </c>
      <c r="B54" s="30" t="s">
        <v>58</v>
      </c>
      <c r="C54" s="20" t="s">
        <v>18</v>
      </c>
      <c r="D54" s="20" t="s">
        <v>104</v>
      </c>
      <c r="E54" s="21">
        <v>0.75</v>
      </c>
      <c r="F54" s="20"/>
      <c r="G54" s="22"/>
    </row>
    <row r="55" spans="1:11">
      <c r="A55" s="29">
        <v>46227</v>
      </c>
      <c r="B55" s="30" t="s">
        <v>58</v>
      </c>
      <c r="C55" s="20" t="s">
        <v>18</v>
      </c>
      <c r="D55" s="20" t="s">
        <v>30</v>
      </c>
      <c r="E55" s="21">
        <v>0.8125</v>
      </c>
      <c r="F55" s="20"/>
      <c r="G55" s="37">
        <v>200</v>
      </c>
      <c r="H55" s="13">
        <f>H52-G55</f>
        <v>2955</v>
      </c>
    </row>
    <row r="56" spans="1:11">
      <c r="A56" s="29">
        <v>46227</v>
      </c>
      <c r="B56" s="30" t="s">
        <v>58</v>
      </c>
      <c r="C56" s="20" t="s">
        <v>18</v>
      </c>
      <c r="D56" s="20" t="s">
        <v>21</v>
      </c>
      <c r="E56" s="21">
        <v>0.85416666666666663</v>
      </c>
      <c r="F56" s="20"/>
      <c r="G56" s="22"/>
    </row>
    <row r="57" spans="1:11" ht="17.25" customHeight="1">
      <c r="A57" s="25">
        <v>46228</v>
      </c>
      <c r="B57" s="20" t="s">
        <v>9</v>
      </c>
      <c r="C57" s="20" t="s">
        <v>18</v>
      </c>
      <c r="D57" s="20" t="s">
        <v>27</v>
      </c>
      <c r="E57" s="21">
        <v>0.35416666666666669</v>
      </c>
      <c r="F57" s="20"/>
      <c r="G57" s="22"/>
    </row>
    <row r="58" spans="1:11">
      <c r="A58" s="25">
        <v>46228</v>
      </c>
      <c r="B58" s="20" t="s">
        <v>9</v>
      </c>
      <c r="C58" s="20" t="s">
        <v>18</v>
      </c>
      <c r="D58" s="20" t="s">
        <v>105</v>
      </c>
      <c r="E58" s="21">
        <v>0.375</v>
      </c>
      <c r="F58" s="20" t="s">
        <v>106</v>
      </c>
      <c r="G58" s="42">
        <v>30</v>
      </c>
      <c r="H58" s="13">
        <f>H55-G58</f>
        <v>2925</v>
      </c>
    </row>
    <row r="59" spans="1:11">
      <c r="A59" s="25">
        <v>46228</v>
      </c>
      <c r="B59" s="20" t="s">
        <v>9</v>
      </c>
      <c r="C59" s="20" t="s">
        <v>18</v>
      </c>
      <c r="D59" s="20" t="s">
        <v>107</v>
      </c>
      <c r="E59" s="21">
        <v>0.38541666666666669</v>
      </c>
      <c r="F59" s="20"/>
      <c r="G59" s="37">
        <v>100</v>
      </c>
      <c r="H59" s="13">
        <f>H58-G59</f>
        <v>2825</v>
      </c>
    </row>
    <row r="60" spans="1:11">
      <c r="A60" s="25">
        <v>46228</v>
      </c>
      <c r="B60" s="20" t="s">
        <v>9</v>
      </c>
      <c r="C60" s="20" t="s">
        <v>18</v>
      </c>
      <c r="D60" s="20" t="s">
        <v>65</v>
      </c>
      <c r="E60" s="21">
        <v>0.38541666666666669</v>
      </c>
      <c r="F60" s="20"/>
      <c r="G60" s="22"/>
      <c r="H60" s="16"/>
    </row>
    <row r="61" spans="1:11">
      <c r="A61" s="25">
        <v>46228</v>
      </c>
      <c r="B61" s="20" t="s">
        <v>9</v>
      </c>
      <c r="C61" s="20" t="s">
        <v>18</v>
      </c>
      <c r="D61" s="20" t="s">
        <v>66</v>
      </c>
      <c r="E61" s="21">
        <v>0.39583333333333331</v>
      </c>
      <c r="F61" s="20"/>
      <c r="G61" s="44">
        <v>5</v>
      </c>
      <c r="H61" s="16">
        <f>H58-G61</f>
        <v>2920</v>
      </c>
    </row>
    <row r="62" spans="1:11">
      <c r="A62" s="25">
        <v>46228</v>
      </c>
      <c r="B62" s="20" t="s">
        <v>9</v>
      </c>
      <c r="C62" s="20" t="s">
        <v>18</v>
      </c>
      <c r="D62" s="20" t="s">
        <v>68</v>
      </c>
      <c r="E62" s="21">
        <v>0.41666666666666669</v>
      </c>
      <c r="F62" s="20"/>
      <c r="G62" s="44">
        <v>20</v>
      </c>
      <c r="H62" s="16">
        <f>H61-G62</f>
        <v>2900</v>
      </c>
    </row>
    <row r="63" spans="1:11">
      <c r="A63" s="25">
        <v>46228</v>
      </c>
      <c r="B63" s="20" t="s">
        <v>9</v>
      </c>
      <c r="C63" s="20" t="s">
        <v>18</v>
      </c>
      <c r="D63" s="20" t="s">
        <v>20</v>
      </c>
      <c r="E63" s="21">
        <v>0.5</v>
      </c>
      <c r="F63" s="20"/>
      <c r="G63" s="37">
        <v>170</v>
      </c>
      <c r="H63" s="16">
        <f>H62-G63</f>
        <v>2730</v>
      </c>
    </row>
    <row r="64" spans="1:11">
      <c r="A64" s="25">
        <v>46228</v>
      </c>
      <c r="B64" s="20" t="s">
        <v>9</v>
      </c>
      <c r="C64" s="20" t="s">
        <v>18</v>
      </c>
      <c r="D64" s="20" t="s">
        <v>69</v>
      </c>
      <c r="E64" s="21">
        <v>0.54166666666666663</v>
      </c>
      <c r="F64" s="20"/>
      <c r="G64" s="41">
        <v>200</v>
      </c>
      <c r="H64" s="13">
        <f>H62-G64</f>
        <v>2700</v>
      </c>
    </row>
    <row r="65" spans="1:11">
      <c r="A65" s="25">
        <v>46228</v>
      </c>
      <c r="B65" s="20" t="s">
        <v>9</v>
      </c>
      <c r="C65" s="20" t="s">
        <v>18</v>
      </c>
      <c r="D65" s="31" t="s">
        <v>70</v>
      </c>
      <c r="E65" s="21">
        <v>0.625</v>
      </c>
      <c r="F65" s="20"/>
      <c r="G65" s="22"/>
      <c r="H65" s="16"/>
      <c r="J65" s="17"/>
      <c r="K65" s="18"/>
    </row>
    <row r="66" spans="1:11">
      <c r="A66" s="25">
        <v>46228</v>
      </c>
      <c r="B66" s="20" t="s">
        <v>9</v>
      </c>
      <c r="C66" s="20" t="s">
        <v>18</v>
      </c>
      <c r="D66" s="32" t="s">
        <v>71</v>
      </c>
      <c r="E66" s="21">
        <v>0.70833333333333337</v>
      </c>
      <c r="F66" s="20"/>
      <c r="G66" s="22"/>
      <c r="K66" s="1"/>
    </row>
    <row r="67" spans="1:11">
      <c r="A67" s="25">
        <v>46228</v>
      </c>
      <c r="B67" s="20" t="s">
        <v>9</v>
      </c>
      <c r="C67" s="20" t="s">
        <v>18</v>
      </c>
      <c r="D67" s="20" t="s">
        <v>21</v>
      </c>
      <c r="E67" s="21">
        <v>0.75</v>
      </c>
      <c r="F67" s="20"/>
      <c r="G67" s="22"/>
      <c r="H67" s="15"/>
    </row>
    <row r="68" spans="1:11">
      <c r="A68" s="25">
        <v>46228</v>
      </c>
      <c r="B68" s="20" t="s">
        <v>9</v>
      </c>
      <c r="C68" s="20" t="s">
        <v>18</v>
      </c>
      <c r="D68" s="20" t="s">
        <v>24</v>
      </c>
      <c r="E68" s="21">
        <v>0.83333333333333337</v>
      </c>
      <c r="F68" s="20"/>
      <c r="G68" s="37">
        <v>200</v>
      </c>
      <c r="H68" s="14">
        <f>H64-G68</f>
        <v>2500</v>
      </c>
    </row>
    <row r="69" spans="1:11">
      <c r="A69" s="33">
        <v>46229</v>
      </c>
      <c r="B69" s="34" t="s">
        <v>26</v>
      </c>
      <c r="C69" s="20" t="s">
        <v>18</v>
      </c>
      <c r="D69" s="20" t="s">
        <v>27</v>
      </c>
      <c r="E69" s="21">
        <v>0.35416666666666669</v>
      </c>
      <c r="F69" s="20"/>
      <c r="G69" s="22"/>
    </row>
    <row r="70" spans="1:11">
      <c r="A70" s="33">
        <v>46229</v>
      </c>
      <c r="B70" s="34" t="s">
        <v>26</v>
      </c>
      <c r="C70" s="20" t="s">
        <v>18</v>
      </c>
      <c r="D70" s="20" t="s">
        <v>73</v>
      </c>
      <c r="E70" s="21">
        <v>0.41666666666666669</v>
      </c>
      <c r="F70" s="20"/>
      <c r="G70" s="22"/>
      <c r="H70" s="16"/>
    </row>
    <row r="71" spans="1:11">
      <c r="A71" s="33">
        <v>46229</v>
      </c>
      <c r="B71" s="34" t="s">
        <v>26</v>
      </c>
      <c r="C71" s="20" t="s">
        <v>18</v>
      </c>
      <c r="D71" s="20" t="s">
        <v>33</v>
      </c>
      <c r="E71" s="21">
        <v>0.5</v>
      </c>
      <c r="F71" s="20"/>
      <c r="G71" s="37">
        <v>200</v>
      </c>
      <c r="H71" s="13">
        <f>H68-G71</f>
        <v>2300</v>
      </c>
    </row>
    <row r="72" spans="1:11">
      <c r="A72" s="33">
        <v>46229</v>
      </c>
      <c r="B72" s="34" t="s">
        <v>26</v>
      </c>
      <c r="C72" s="20" t="s">
        <v>18</v>
      </c>
      <c r="D72" s="20" t="s">
        <v>21</v>
      </c>
      <c r="E72" s="21">
        <v>0.58333333333333337</v>
      </c>
      <c r="F72" s="20"/>
      <c r="G72" s="22"/>
    </row>
    <row r="73" spans="1:11">
      <c r="A73" s="33">
        <v>46229</v>
      </c>
      <c r="B73" s="34" t="s">
        <v>26</v>
      </c>
      <c r="C73" s="20" t="s">
        <v>18</v>
      </c>
      <c r="D73" s="20" t="s">
        <v>74</v>
      </c>
      <c r="E73" s="21">
        <v>0.72916666666666663</v>
      </c>
      <c r="F73" s="20"/>
      <c r="G73" s="44">
        <v>100</v>
      </c>
      <c r="H73" s="13">
        <f>H71-G73</f>
        <v>2200</v>
      </c>
    </row>
    <row r="74" spans="1:11">
      <c r="A74" s="33">
        <v>46229</v>
      </c>
      <c r="B74" s="34" t="s">
        <v>26</v>
      </c>
      <c r="C74" s="20" t="s">
        <v>18</v>
      </c>
      <c r="D74" s="20" t="s">
        <v>75</v>
      </c>
      <c r="E74" s="21">
        <v>0.75</v>
      </c>
      <c r="F74" s="20"/>
      <c r="G74" s="44">
        <v>150</v>
      </c>
      <c r="H74" s="13">
        <f>H73-G74</f>
        <v>2050</v>
      </c>
    </row>
    <row r="75" spans="1:11">
      <c r="A75" s="25">
        <v>46230</v>
      </c>
      <c r="B75" s="20" t="s">
        <v>31</v>
      </c>
      <c r="C75" s="20" t="s">
        <v>18</v>
      </c>
      <c r="D75" s="20" t="s">
        <v>39</v>
      </c>
      <c r="E75" s="21">
        <v>0.33333333333333331</v>
      </c>
      <c r="F75" s="20"/>
      <c r="G75" s="22"/>
    </row>
    <row r="76" spans="1:11">
      <c r="A76" s="25">
        <v>46230</v>
      </c>
      <c r="B76" s="20" t="s">
        <v>31</v>
      </c>
      <c r="C76" s="20" t="s">
        <v>18</v>
      </c>
      <c r="D76" s="20" t="s">
        <v>76</v>
      </c>
      <c r="E76" s="21">
        <v>0.39583333333333331</v>
      </c>
      <c r="F76" s="20"/>
      <c r="G76" s="22"/>
    </row>
    <row r="77" spans="1:11">
      <c r="A77" s="25">
        <v>46230</v>
      </c>
      <c r="B77" s="20" t="s">
        <v>31</v>
      </c>
      <c r="C77" s="20" t="s">
        <v>18</v>
      </c>
      <c r="D77" s="20" t="s">
        <v>77</v>
      </c>
      <c r="E77" s="21">
        <v>0.41666666666666669</v>
      </c>
      <c r="F77" s="20"/>
      <c r="G77" s="22"/>
    </row>
    <row r="78" spans="1:11">
      <c r="A78" s="25">
        <v>46230</v>
      </c>
      <c r="B78" s="20" t="s">
        <v>31</v>
      </c>
      <c r="C78" s="20" t="s">
        <v>18</v>
      </c>
      <c r="D78" s="20" t="s">
        <v>78</v>
      </c>
      <c r="E78" s="21">
        <v>0.4375</v>
      </c>
      <c r="F78" s="20"/>
      <c r="G78" s="22"/>
    </row>
    <row r="79" spans="1:11">
      <c r="A79" s="25">
        <v>46230</v>
      </c>
      <c r="B79" s="20" t="s">
        <v>31</v>
      </c>
      <c r="C79" s="20" t="s">
        <v>18</v>
      </c>
      <c r="D79" s="20" t="s">
        <v>79</v>
      </c>
      <c r="E79" s="21">
        <v>0.45833333333333331</v>
      </c>
      <c r="F79" s="20"/>
      <c r="G79" s="41">
        <v>100</v>
      </c>
    </row>
    <row r="80" spans="1:11">
      <c r="A80" s="25">
        <v>46230</v>
      </c>
      <c r="B80" s="20" t="s">
        <v>31</v>
      </c>
      <c r="C80" s="20" t="s">
        <v>18</v>
      </c>
      <c r="D80" s="20" t="s">
        <v>80</v>
      </c>
      <c r="E80" s="21">
        <v>0.45833333333333331</v>
      </c>
      <c r="F80" s="20"/>
      <c r="G80" s="22"/>
    </row>
    <row r="81" spans="1:7">
      <c r="A81" s="25">
        <v>46230</v>
      </c>
      <c r="B81" s="20" t="s">
        <v>31</v>
      </c>
      <c r="C81" s="20" t="s">
        <v>18</v>
      </c>
      <c r="D81" s="20" t="s">
        <v>33</v>
      </c>
      <c r="E81" s="21">
        <v>0.5</v>
      </c>
      <c r="F81" s="20"/>
      <c r="G81" s="22"/>
    </row>
    <row r="82" spans="1:7">
      <c r="A82" s="25">
        <v>46230</v>
      </c>
      <c r="B82" s="20" t="s">
        <v>31</v>
      </c>
      <c r="C82" s="20" t="s">
        <v>18</v>
      </c>
      <c r="D82" s="20" t="s">
        <v>81</v>
      </c>
      <c r="E82" s="21">
        <v>0.58333333333333337</v>
      </c>
      <c r="F82" s="20"/>
      <c r="G82" s="22"/>
    </row>
    <row r="83" spans="1:7">
      <c r="A83" s="25">
        <v>46230</v>
      </c>
      <c r="B83" s="20" t="s">
        <v>31</v>
      </c>
      <c r="C83" s="20" t="s">
        <v>18</v>
      </c>
      <c r="D83" s="20" t="s">
        <v>82</v>
      </c>
      <c r="E83" s="21">
        <v>0.66666666666666663</v>
      </c>
      <c r="F83" s="20"/>
      <c r="G83" s="43">
        <v>100</v>
      </c>
    </row>
    <row r="84" spans="1:7">
      <c r="A84" s="25">
        <v>46230</v>
      </c>
      <c r="B84" s="20" t="s">
        <v>31</v>
      </c>
      <c r="C84" s="20" t="s">
        <v>18</v>
      </c>
      <c r="D84" s="20" t="s">
        <v>83</v>
      </c>
      <c r="E84" s="21">
        <v>0.70833333333333337</v>
      </c>
      <c r="F84" s="20"/>
      <c r="G84" s="22"/>
    </row>
    <row r="85" spans="1:7">
      <c r="A85" s="25">
        <v>46230</v>
      </c>
      <c r="B85" s="20" t="s">
        <v>31</v>
      </c>
      <c r="C85" s="20" t="s">
        <v>18</v>
      </c>
      <c r="D85" s="20" t="s">
        <v>43</v>
      </c>
      <c r="E85" s="21">
        <v>0.77083333333333337</v>
      </c>
      <c r="F85" s="20"/>
      <c r="G85" s="22"/>
    </row>
    <row r="86" spans="1:7">
      <c r="A86" s="25">
        <v>46230</v>
      </c>
      <c r="B86" s="20" t="s">
        <v>31</v>
      </c>
      <c r="C86" s="20" t="s">
        <v>18</v>
      </c>
      <c r="D86" s="20" t="s">
        <v>24</v>
      </c>
      <c r="E86" s="21">
        <v>0.85416666666666663</v>
      </c>
      <c r="F86" s="20"/>
      <c r="G86" s="37">
        <v>170</v>
      </c>
    </row>
    <row r="87" spans="1:7">
      <c r="A87" s="25">
        <v>46230</v>
      </c>
      <c r="B87" s="20" t="s">
        <v>31</v>
      </c>
      <c r="C87" s="20" t="s">
        <v>18</v>
      </c>
      <c r="D87" s="20" t="s">
        <v>43</v>
      </c>
      <c r="E87" s="21">
        <v>0.91666666666666663</v>
      </c>
      <c r="F87" s="20"/>
      <c r="G87" s="22"/>
    </row>
    <row r="88" spans="1:7">
      <c r="A88" s="35">
        <v>46231</v>
      </c>
      <c r="B88" s="36" t="s">
        <v>38</v>
      </c>
      <c r="C88" s="20" t="s">
        <v>18</v>
      </c>
      <c r="D88" s="20" t="s">
        <v>27</v>
      </c>
      <c r="E88" s="21">
        <v>0.35416666666666669</v>
      </c>
      <c r="F88" s="20"/>
      <c r="G88" s="37">
        <v>50</v>
      </c>
    </row>
    <row r="89" spans="1:7">
      <c r="A89" s="35">
        <v>46231</v>
      </c>
      <c r="B89" s="36" t="s">
        <v>38</v>
      </c>
      <c r="C89" s="20" t="s">
        <v>18</v>
      </c>
      <c r="D89" s="20" t="s">
        <v>84</v>
      </c>
      <c r="E89" s="21">
        <v>0.44444444444444442</v>
      </c>
      <c r="F89" s="20"/>
      <c r="G89" s="22"/>
    </row>
    <row r="90" spans="1:7">
      <c r="A90" s="35">
        <v>46231</v>
      </c>
      <c r="B90" s="36" t="s">
        <v>38</v>
      </c>
      <c r="C90" s="20" t="s">
        <v>18</v>
      </c>
      <c r="D90" s="20" t="s">
        <v>85</v>
      </c>
      <c r="E90" s="21">
        <v>0.45833333333333331</v>
      </c>
      <c r="F90" s="20"/>
      <c r="G90" s="22"/>
    </row>
    <row r="91" spans="1:7">
      <c r="A91" s="35">
        <v>46231</v>
      </c>
      <c r="B91" s="36" t="s">
        <v>38</v>
      </c>
      <c r="C91" s="20" t="s">
        <v>18</v>
      </c>
      <c r="D91" s="20" t="s">
        <v>86</v>
      </c>
      <c r="E91" s="21">
        <v>0.47916666666666669</v>
      </c>
      <c r="F91" s="20"/>
      <c r="G91" s="22"/>
    </row>
    <row r="92" spans="1:7">
      <c r="A92" s="35">
        <v>46231</v>
      </c>
      <c r="B92" s="36" t="s">
        <v>38</v>
      </c>
      <c r="C92" s="20" t="s">
        <v>18</v>
      </c>
      <c r="D92" s="20" t="s">
        <v>41</v>
      </c>
      <c r="E92" s="21">
        <v>0.5</v>
      </c>
      <c r="F92" s="20"/>
      <c r="G92" s="37">
        <v>170</v>
      </c>
    </row>
    <row r="93" spans="1:7">
      <c r="A93" s="35">
        <v>46231</v>
      </c>
      <c r="B93" s="36" t="s">
        <v>38</v>
      </c>
      <c r="C93" s="20" t="s">
        <v>18</v>
      </c>
      <c r="D93" s="20" t="s">
        <v>87</v>
      </c>
      <c r="E93" s="21">
        <v>0.58333333333333337</v>
      </c>
      <c r="F93" s="20"/>
      <c r="G93" s="44">
        <v>50</v>
      </c>
    </row>
    <row r="94" spans="1:7">
      <c r="A94" s="35">
        <v>46231</v>
      </c>
      <c r="B94" s="36" t="s">
        <v>38</v>
      </c>
      <c r="C94" s="20" t="s">
        <v>18</v>
      </c>
      <c r="D94" s="20" t="s">
        <v>43</v>
      </c>
      <c r="E94" s="21">
        <v>0.70833333333333337</v>
      </c>
      <c r="F94" s="20"/>
      <c r="G94" s="22"/>
    </row>
    <row r="95" spans="1:7">
      <c r="A95" s="35">
        <v>46231</v>
      </c>
      <c r="B95" s="36" t="s">
        <v>38</v>
      </c>
      <c r="C95" s="20" t="s">
        <v>18</v>
      </c>
      <c r="D95" s="20" t="s">
        <v>24</v>
      </c>
      <c r="E95" s="21">
        <v>0.79166666666666663</v>
      </c>
      <c r="F95" s="20"/>
      <c r="G95" s="37">
        <v>170</v>
      </c>
    </row>
    <row r="96" spans="1:7">
      <c r="A96" s="35">
        <v>46231</v>
      </c>
      <c r="B96" s="36" t="s">
        <v>38</v>
      </c>
      <c r="C96" s="20" t="s">
        <v>18</v>
      </c>
      <c r="D96" s="20" t="s">
        <v>43</v>
      </c>
      <c r="E96" s="21">
        <v>0.875</v>
      </c>
      <c r="F96" s="20"/>
      <c r="G96" s="22"/>
    </row>
    <row r="97" spans="1:15">
      <c r="A97" s="25">
        <v>46232</v>
      </c>
      <c r="B97" s="20" t="s">
        <v>44</v>
      </c>
      <c r="C97" s="20" t="s">
        <v>18</v>
      </c>
      <c r="D97" s="20" t="s">
        <v>27</v>
      </c>
      <c r="E97" s="21">
        <v>0.375</v>
      </c>
      <c r="F97" s="20"/>
      <c r="G97" s="22"/>
    </row>
    <row r="98" spans="1:15">
      <c r="A98" s="25">
        <v>46232</v>
      </c>
      <c r="B98" s="20" t="s">
        <v>44</v>
      </c>
      <c r="C98" s="20" t="s">
        <v>18</v>
      </c>
      <c r="D98" s="20" t="s">
        <v>108</v>
      </c>
      <c r="E98" s="21">
        <v>0.41666666666666669</v>
      </c>
      <c r="F98" s="20"/>
      <c r="G98" s="41">
        <v>250</v>
      </c>
    </row>
    <row r="99" spans="1:15">
      <c r="A99" s="25">
        <v>46232</v>
      </c>
      <c r="B99" s="20" t="s">
        <v>44</v>
      </c>
      <c r="C99" s="20" t="s">
        <v>18</v>
      </c>
      <c r="D99" s="20" t="s">
        <v>33</v>
      </c>
      <c r="E99" s="21">
        <v>0.52083333333333337</v>
      </c>
      <c r="F99" s="20"/>
      <c r="G99" s="22"/>
    </row>
    <row r="100" spans="1:15">
      <c r="A100" s="25">
        <v>46232</v>
      </c>
      <c r="B100" s="20" t="s">
        <v>44</v>
      </c>
      <c r="C100" s="20" t="s">
        <v>18</v>
      </c>
      <c r="D100" s="20" t="s">
        <v>89</v>
      </c>
      <c r="E100" s="21">
        <v>0.58333333333333337</v>
      </c>
      <c r="F100" s="20"/>
      <c r="G100" s="22"/>
    </row>
    <row r="101" spans="1:15">
      <c r="A101" s="25">
        <v>46232</v>
      </c>
      <c r="B101" s="20" t="s">
        <v>44</v>
      </c>
      <c r="C101" s="20" t="s">
        <v>18</v>
      </c>
      <c r="D101" s="20" t="s">
        <v>91</v>
      </c>
      <c r="E101" s="21">
        <v>0.60416666666666663</v>
      </c>
      <c r="F101" s="20"/>
      <c r="G101" s="42">
        <v>300</v>
      </c>
    </row>
    <row r="102" spans="1:15">
      <c r="A102" s="25">
        <v>46232</v>
      </c>
      <c r="B102" s="20" t="s">
        <v>44</v>
      </c>
      <c r="C102" s="20" t="s">
        <v>18</v>
      </c>
      <c r="D102" s="20" t="s">
        <v>92</v>
      </c>
      <c r="E102" s="21">
        <v>0.64583333333333337</v>
      </c>
      <c r="F102" s="20"/>
      <c r="G102" s="22"/>
    </row>
    <row r="103" spans="1:15">
      <c r="A103" s="25">
        <v>46232</v>
      </c>
      <c r="B103" s="20" t="s">
        <v>44</v>
      </c>
      <c r="C103" s="20" t="s">
        <v>18</v>
      </c>
      <c r="D103" s="20" t="s">
        <v>93</v>
      </c>
      <c r="E103" s="21">
        <v>0.70833333333333337</v>
      </c>
      <c r="F103" s="20"/>
      <c r="G103" s="22"/>
    </row>
    <row r="104" spans="1:15">
      <c r="A104" s="25">
        <v>46232</v>
      </c>
      <c r="B104" s="20" t="s">
        <v>44</v>
      </c>
      <c r="C104" s="20" t="s">
        <v>18</v>
      </c>
      <c r="D104" s="20" t="s">
        <v>94</v>
      </c>
      <c r="E104" s="21">
        <v>0.8125</v>
      </c>
      <c r="F104" s="20"/>
      <c r="G104" s="22"/>
    </row>
    <row r="105" spans="1:15">
      <c r="A105" s="25">
        <v>46232</v>
      </c>
      <c r="B105" s="20" t="s">
        <v>44</v>
      </c>
      <c r="C105" s="20" t="s">
        <v>18</v>
      </c>
      <c r="D105" s="20" t="s">
        <v>95</v>
      </c>
      <c r="E105" s="21">
        <v>0.83333333333333337</v>
      </c>
      <c r="F105" s="20"/>
      <c r="G105" s="37">
        <v>170</v>
      </c>
    </row>
    <row r="106" spans="1:15">
      <c r="A106" s="25">
        <v>46232</v>
      </c>
      <c r="B106" s="20" t="s">
        <v>44</v>
      </c>
      <c r="C106" s="20" t="s">
        <v>18</v>
      </c>
      <c r="D106" s="20" t="s">
        <v>96</v>
      </c>
      <c r="E106" s="21">
        <v>0.88541666666666663</v>
      </c>
      <c r="F106" s="20"/>
      <c r="G106" s="22"/>
    </row>
    <row r="107" spans="1:15">
      <c r="A107" s="25">
        <v>46232</v>
      </c>
      <c r="B107" s="20" t="s">
        <v>44</v>
      </c>
      <c r="C107" s="20" t="s">
        <v>18</v>
      </c>
      <c r="D107" s="20" t="s">
        <v>10</v>
      </c>
      <c r="E107" s="21">
        <v>0.98958333333333337</v>
      </c>
      <c r="F107" s="20"/>
      <c r="G107" s="22"/>
    </row>
    <row r="108" spans="1:15">
      <c r="A108" s="25">
        <v>46232</v>
      </c>
      <c r="B108" s="20" t="s">
        <v>44</v>
      </c>
      <c r="C108" s="20" t="s">
        <v>18</v>
      </c>
      <c r="D108" s="20" t="s">
        <v>97</v>
      </c>
      <c r="E108" s="21">
        <v>0.83333333333333337</v>
      </c>
      <c r="F108" s="20"/>
      <c r="G108" s="42">
        <v>100</v>
      </c>
    </row>
    <row r="109" spans="1:15">
      <c r="A109" s="20"/>
      <c r="B109" s="20"/>
      <c r="C109" s="20"/>
      <c r="D109" s="20"/>
      <c r="E109" s="21"/>
      <c r="F109" s="20"/>
      <c r="G109" s="22">
        <f>SUM(G2:G108)</f>
        <v>11778.95</v>
      </c>
      <c r="I109" s="1">
        <f>SUM(I2:I108)</f>
        <v>0</v>
      </c>
      <c r="M109">
        <v>100</v>
      </c>
      <c r="N109">
        <v>200</v>
      </c>
      <c r="O109">
        <v>200</v>
      </c>
    </row>
    <row r="134" spans="9:10">
      <c r="I134" s="1" t="s">
        <v>98</v>
      </c>
      <c r="J134">
        <v>29.07</v>
      </c>
    </row>
    <row r="135" spans="9:10">
      <c r="I135" s="1" t="s">
        <v>97</v>
      </c>
      <c r="J135">
        <v>23.59</v>
      </c>
    </row>
    <row r="138" spans="9:10">
      <c r="I138" s="1" t="s">
        <v>99</v>
      </c>
      <c r="J138">
        <v>6.2</v>
      </c>
    </row>
    <row r="139" spans="9:10">
      <c r="I139" s="1" t="s">
        <v>100</v>
      </c>
    </row>
  </sheetData>
  <pageMargins left="0.511811024" right="0.511811024" top="0.78740157499999996" bottom="0.78740157499999996" header="0.31496062000000002" footer="0.31496062000000002"/>
  <pageSetup paperSize="9" scale="4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85CC-FD4C-406A-A983-FDEAF41B6478}">
  <dimension ref="A1:F70"/>
  <sheetViews>
    <sheetView topLeftCell="A61" workbookViewId="0">
      <selection activeCell="A70" sqref="A70"/>
    </sheetView>
  </sheetViews>
  <sheetFormatPr defaultRowHeight="14.4"/>
  <cols>
    <col min="1" max="1" width="70.33203125" customWidth="1"/>
    <col min="2" max="2" width="11.44140625" customWidth="1"/>
    <col min="3" max="3" width="26.33203125" customWidth="1"/>
    <col min="4" max="4" width="19" style="1" customWidth="1"/>
    <col min="5" max="5" width="10.6640625" bestFit="1" customWidth="1"/>
    <col min="6" max="6" width="36.44140625" bestFit="1" customWidth="1"/>
  </cols>
  <sheetData>
    <row r="1" spans="1:6">
      <c r="A1" t="s">
        <v>3</v>
      </c>
      <c r="B1" t="s">
        <v>109</v>
      </c>
      <c r="C1" t="s">
        <v>110</v>
      </c>
      <c r="D1" s="1" t="s">
        <v>6</v>
      </c>
      <c r="E1" t="s">
        <v>111</v>
      </c>
    </row>
    <row r="2" spans="1:6">
      <c r="A2" t="s">
        <v>112</v>
      </c>
      <c r="B2" t="s">
        <v>113</v>
      </c>
    </row>
    <row r="3" spans="1:6">
      <c r="A3" t="s">
        <v>66</v>
      </c>
      <c r="B3" t="s">
        <v>113</v>
      </c>
      <c r="D3" s="1">
        <v>5</v>
      </c>
    </row>
    <row r="4" spans="1:6">
      <c r="A4" t="s">
        <v>69</v>
      </c>
      <c r="B4" t="s">
        <v>113</v>
      </c>
    </row>
    <row r="5" spans="1:6">
      <c r="A5" t="s">
        <v>114</v>
      </c>
      <c r="B5" t="s">
        <v>113</v>
      </c>
    </row>
    <row r="6" spans="1:6">
      <c r="A6" t="s">
        <v>115</v>
      </c>
      <c r="B6" t="s">
        <v>113</v>
      </c>
      <c r="E6" t="s">
        <v>116</v>
      </c>
    </row>
    <row r="7" spans="1:6">
      <c r="A7" t="s">
        <v>80</v>
      </c>
      <c r="B7" t="s">
        <v>113</v>
      </c>
      <c r="D7" s="1">
        <v>72.5</v>
      </c>
      <c r="E7" t="s">
        <v>117</v>
      </c>
      <c r="F7" t="s">
        <v>118</v>
      </c>
    </row>
    <row r="8" spans="1:6">
      <c r="A8" t="s">
        <v>119</v>
      </c>
      <c r="B8" t="s">
        <v>113</v>
      </c>
    </row>
    <row r="9" spans="1:6">
      <c r="A9" t="s">
        <v>77</v>
      </c>
      <c r="B9" t="s">
        <v>113</v>
      </c>
      <c r="F9" t="s">
        <v>120</v>
      </c>
    </row>
    <row r="10" spans="1:6">
      <c r="A10" t="s">
        <v>121</v>
      </c>
      <c r="B10" t="s">
        <v>113</v>
      </c>
    </row>
    <row r="11" spans="1:6">
      <c r="A11" s="46" t="s">
        <v>122</v>
      </c>
      <c r="B11" s="46" t="s">
        <v>123</v>
      </c>
    </row>
    <row r="12" spans="1:6">
      <c r="A12" t="s">
        <v>124</v>
      </c>
      <c r="B12" t="s">
        <v>113</v>
      </c>
    </row>
    <row r="13" spans="1:6">
      <c r="A13" s="46" t="s">
        <v>125</v>
      </c>
      <c r="B13" s="46" t="s">
        <v>123</v>
      </c>
      <c r="F13" t="s">
        <v>126</v>
      </c>
    </row>
    <row r="14" spans="1:6">
      <c r="A14" t="s">
        <v>127</v>
      </c>
      <c r="B14" t="s">
        <v>113</v>
      </c>
    </row>
    <row r="15" spans="1:6">
      <c r="A15" s="46" t="s">
        <v>128</v>
      </c>
      <c r="B15" s="46" t="s">
        <v>123</v>
      </c>
      <c r="D15" s="1">
        <v>60</v>
      </c>
    </row>
    <row r="16" spans="1:6">
      <c r="A16" t="s">
        <v>129</v>
      </c>
      <c r="B16" t="s">
        <v>113</v>
      </c>
    </row>
    <row r="17" spans="1:4">
      <c r="A17" t="s">
        <v>130</v>
      </c>
      <c r="B17" t="s">
        <v>113</v>
      </c>
    </row>
    <row r="18" spans="1:4">
      <c r="A18" s="17" t="s">
        <v>131</v>
      </c>
      <c r="B18" s="17" t="s">
        <v>113</v>
      </c>
    </row>
    <row r="19" spans="1:4">
      <c r="A19" t="s">
        <v>132</v>
      </c>
      <c r="B19" t="s">
        <v>113</v>
      </c>
    </row>
    <row r="20" spans="1:4">
      <c r="A20" t="s">
        <v>133</v>
      </c>
      <c r="B20" t="s">
        <v>113</v>
      </c>
    </row>
    <row r="21" spans="1:4">
      <c r="A21" t="s">
        <v>134</v>
      </c>
      <c r="B21" t="s">
        <v>113</v>
      </c>
    </row>
    <row r="22" spans="1:4">
      <c r="A22" t="s">
        <v>135</v>
      </c>
      <c r="B22" t="s">
        <v>113</v>
      </c>
    </row>
    <row r="23" spans="1:4">
      <c r="A23" t="s">
        <v>136</v>
      </c>
      <c r="B23" t="s">
        <v>113</v>
      </c>
    </row>
    <row r="24" spans="1:4">
      <c r="A24" t="s">
        <v>137</v>
      </c>
      <c r="B24" t="s">
        <v>113</v>
      </c>
    </row>
    <row r="25" spans="1:4">
      <c r="A25" s="46" t="s">
        <v>138</v>
      </c>
      <c r="B25" s="46" t="s">
        <v>123</v>
      </c>
    </row>
    <row r="26" spans="1:4">
      <c r="A26" s="46" t="s">
        <v>139</v>
      </c>
      <c r="B26" s="46" t="s">
        <v>123</v>
      </c>
    </row>
    <row r="27" spans="1:4">
      <c r="A27" t="s">
        <v>140</v>
      </c>
      <c r="B27" t="s">
        <v>123</v>
      </c>
    </row>
    <row r="28" spans="1:4">
      <c r="A28" t="s">
        <v>141</v>
      </c>
      <c r="B28" t="s">
        <v>123</v>
      </c>
    </row>
    <row r="29" spans="1:4">
      <c r="A29" t="s">
        <v>142</v>
      </c>
      <c r="B29" t="s">
        <v>123</v>
      </c>
    </row>
    <row r="30" spans="1:4">
      <c r="A30" t="s">
        <v>143</v>
      </c>
      <c r="B30" t="s">
        <v>123</v>
      </c>
      <c r="D30" s="1">
        <v>75</v>
      </c>
    </row>
    <row r="31" spans="1:4">
      <c r="A31" t="s">
        <v>144</v>
      </c>
      <c r="B31" t="s">
        <v>113</v>
      </c>
    </row>
    <row r="32" spans="1:4">
      <c r="A32" t="s">
        <v>145</v>
      </c>
    </row>
    <row r="33" spans="1:6">
      <c r="A33" s="46" t="s">
        <v>146</v>
      </c>
      <c r="B33" s="46" t="s">
        <v>123</v>
      </c>
    </row>
    <row r="34" spans="1:6">
      <c r="A34" s="46" t="s">
        <v>147</v>
      </c>
      <c r="B34" s="46" t="s">
        <v>123</v>
      </c>
      <c r="F34" t="s">
        <v>148</v>
      </c>
    </row>
    <row r="35" spans="1:6">
      <c r="A35" t="s">
        <v>149</v>
      </c>
      <c r="D35" s="1">
        <v>50</v>
      </c>
    </row>
    <row r="36" spans="1:6">
      <c r="A36" t="s">
        <v>102</v>
      </c>
      <c r="D36" s="1">
        <v>50</v>
      </c>
    </row>
    <row r="37" spans="1:6">
      <c r="A37" t="s">
        <v>103</v>
      </c>
    </row>
    <row r="38" spans="1:6">
      <c r="A38" s="46" t="s">
        <v>150</v>
      </c>
      <c r="B38" s="46" t="s">
        <v>123</v>
      </c>
    </row>
    <row r="39" spans="1:6">
      <c r="A39" t="s">
        <v>151</v>
      </c>
      <c r="D39" s="1">
        <v>150</v>
      </c>
    </row>
    <row r="40" spans="1:6">
      <c r="A40" t="s">
        <v>152</v>
      </c>
      <c r="B40" t="s">
        <v>153</v>
      </c>
    </row>
    <row r="41" spans="1:6">
      <c r="A41" t="s">
        <v>154</v>
      </c>
    </row>
    <row r="42" spans="1:6">
      <c r="A42" t="s">
        <v>155</v>
      </c>
    </row>
    <row r="43" spans="1:6">
      <c r="A43" t="s">
        <v>156</v>
      </c>
    </row>
    <row r="44" spans="1:6">
      <c r="A44" t="s">
        <v>157</v>
      </c>
    </row>
    <row r="45" spans="1:6">
      <c r="A45" t="s">
        <v>158</v>
      </c>
    </row>
    <row r="46" spans="1:6">
      <c r="A46" t="s">
        <v>103</v>
      </c>
    </row>
    <row r="47" spans="1:6">
      <c r="A47" t="s">
        <v>159</v>
      </c>
    </row>
    <row r="48" spans="1:6">
      <c r="A48" s="46" t="s">
        <v>160</v>
      </c>
      <c r="B48" s="46" t="s">
        <v>123</v>
      </c>
    </row>
    <row r="49" spans="1:2">
      <c r="A49" t="s">
        <v>161</v>
      </c>
    </row>
    <row r="50" spans="1:2">
      <c r="A50" t="s">
        <v>102</v>
      </c>
    </row>
    <row r="51" spans="1:2">
      <c r="A51" t="s">
        <v>162</v>
      </c>
    </row>
    <row r="52" spans="1:2">
      <c r="A52" t="s">
        <v>29</v>
      </c>
    </row>
    <row r="53" spans="1:2">
      <c r="A53" t="s">
        <v>163</v>
      </c>
    </row>
    <row r="54" spans="1:2">
      <c r="A54" t="s">
        <v>164</v>
      </c>
    </row>
    <row r="55" spans="1:2">
      <c r="A55" t="s">
        <v>165</v>
      </c>
    </row>
    <row r="56" spans="1:2">
      <c r="A56" t="s">
        <v>166</v>
      </c>
    </row>
    <row r="57" spans="1:2">
      <c r="A57" s="46" t="s">
        <v>167</v>
      </c>
      <c r="B57" s="46" t="s">
        <v>123</v>
      </c>
    </row>
    <row r="58" spans="1:2">
      <c r="A58" t="s">
        <v>168</v>
      </c>
    </row>
    <row r="59" spans="1:2">
      <c r="A59" t="s">
        <v>169</v>
      </c>
    </row>
    <row r="60" spans="1:2">
      <c r="A60" t="s">
        <v>170</v>
      </c>
    </row>
    <row r="61" spans="1:2">
      <c r="A61" t="s">
        <v>171</v>
      </c>
    </row>
    <row r="62" spans="1:2" ht="15.6">
      <c r="A62" s="19" t="s">
        <v>172</v>
      </c>
    </row>
    <row r="63" spans="1:2">
      <c r="A63" s="46" t="s">
        <v>173</v>
      </c>
      <c r="B63" s="46" t="s">
        <v>123</v>
      </c>
    </row>
    <row r="64" spans="1:2">
      <c r="A64" s="46" t="s">
        <v>174</v>
      </c>
      <c r="B64" s="46" t="s">
        <v>123</v>
      </c>
    </row>
    <row r="65" spans="1:2">
      <c r="A65" s="46" t="s">
        <v>175</v>
      </c>
      <c r="B65" s="46" t="s">
        <v>123</v>
      </c>
    </row>
    <row r="66" spans="1:2">
      <c r="A66" t="s">
        <v>176</v>
      </c>
    </row>
    <row r="67" spans="1:2">
      <c r="A67" t="s">
        <v>177</v>
      </c>
    </row>
    <row r="68" spans="1:2">
      <c r="A68" s="46" t="s">
        <v>178</v>
      </c>
      <c r="B68" s="46" t="s">
        <v>123</v>
      </c>
    </row>
    <row r="69" spans="1:2">
      <c r="A69" s="46" t="s">
        <v>179</v>
      </c>
      <c r="B69" s="46" t="s">
        <v>123</v>
      </c>
    </row>
    <row r="70" spans="1:2">
      <c r="A70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618D-06A8-40C6-858A-C3E6F2969B38}">
  <dimension ref="A1:E62"/>
  <sheetViews>
    <sheetView workbookViewId="0">
      <selection activeCell="A2" sqref="A2:A12"/>
    </sheetView>
  </sheetViews>
  <sheetFormatPr defaultRowHeight="14.4"/>
  <cols>
    <col min="1" max="1" width="70.33203125" customWidth="1"/>
    <col min="2" max="2" width="11.44140625" customWidth="1"/>
    <col min="3" max="3" width="26.33203125" customWidth="1"/>
    <col min="4" max="4" width="19" style="1" customWidth="1"/>
    <col min="5" max="5" width="10.6640625" bestFit="1" customWidth="1"/>
    <col min="6" max="6" width="36.44140625" bestFit="1" customWidth="1"/>
  </cols>
  <sheetData>
    <row r="1" spans="1:5">
      <c r="A1" t="s">
        <v>5</v>
      </c>
      <c r="B1" t="s">
        <v>109</v>
      </c>
      <c r="C1" t="s">
        <v>110</v>
      </c>
      <c r="D1" s="1" t="s">
        <v>6</v>
      </c>
      <c r="E1" t="s">
        <v>111</v>
      </c>
    </row>
    <row r="2" spans="1:5">
      <c r="A2" t="s">
        <v>181</v>
      </c>
    </row>
    <row r="3" spans="1:5">
      <c r="A3" t="s">
        <v>182</v>
      </c>
    </row>
    <row r="4" spans="1:5">
      <c r="A4" t="s">
        <v>183</v>
      </c>
    </row>
    <row r="5" spans="1:5">
      <c r="A5" t="s">
        <v>184</v>
      </c>
    </row>
    <row r="6" spans="1:5">
      <c r="A6" t="s">
        <v>185</v>
      </c>
    </row>
    <row r="7" spans="1:5">
      <c r="A7" t="s">
        <v>186</v>
      </c>
    </row>
    <row r="8" spans="1:5">
      <c r="A8" t="s">
        <v>187</v>
      </c>
    </row>
    <row r="9" spans="1:5">
      <c r="A9" t="s">
        <v>188</v>
      </c>
    </row>
    <row r="10" spans="1:5">
      <c r="A10" t="s">
        <v>189</v>
      </c>
    </row>
    <row r="11" spans="1:5">
      <c r="A11" t="s">
        <v>190</v>
      </c>
    </row>
    <row r="12" spans="1:5">
      <c r="A12" t="s">
        <v>191</v>
      </c>
    </row>
    <row r="18" spans="1:2">
      <c r="A18" s="17"/>
      <c r="B18" s="17"/>
    </row>
    <row r="62" spans="1:1" ht="15.6">
      <c r="A62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7CEC-BC93-4021-A909-A53D35B3263D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Praia do Forte</vt:lpstr>
      <vt:lpstr>Ouro Preto e BH (2)</vt:lpstr>
      <vt:lpstr>Dicas salvador</vt:lpstr>
      <vt:lpstr>Dicas Aracajú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SecTec</dc:creator>
  <cp:keywords/>
  <dc:description/>
  <cp:lastModifiedBy>aline porto</cp:lastModifiedBy>
  <cp:revision/>
  <dcterms:created xsi:type="dcterms:W3CDTF">2020-10-06T12:44:11Z</dcterms:created>
  <dcterms:modified xsi:type="dcterms:W3CDTF">2026-07-05T18:46:33Z</dcterms:modified>
  <cp:category/>
  <cp:contentStatus/>
</cp:coreProperties>
</file>